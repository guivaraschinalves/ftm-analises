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Calculadora PPI" sheetId="2" state="visible" r:id="rId2"/>
    <sheet name="Brent e Câmbio" sheetId="3" state="visible" r:id="rId3"/>
    <sheet name="PPI ANP - Diesel (semanal)" sheetId="4" state="visible" r:id="rId4"/>
    <sheet name="PPI ANP - Gasolina (semanal)" sheetId="5" state="visible" r:id="rId5"/>
    <sheet name="Preço Realização (semanal)" sheetId="6" state="visible" r:id="rId6"/>
    <sheet name="Defasagem Histórica (mensal)" sheetId="7" state="visible" r:id="rId7"/>
    <sheet name="Fontes" sheetId="8" state="visible" r:id="rId8"/>
  </sheets>
  <definedNames/>
  <calcPr calcId="124519" fullCalcOnLoad="1"/>
</workbook>
</file>

<file path=xl/styles.xml><?xml version="1.0" encoding="utf-8"?>
<styleSheet xmlns="http://schemas.openxmlformats.org/spreadsheetml/2006/main">
  <numFmts count="5">
    <numFmt numFmtId="164" formatCode="$#,##0.00"/>
    <numFmt numFmtId="165" formatCode="#,##0.0000"/>
    <numFmt numFmtId="166" formatCode="#,##0.000000"/>
    <numFmt numFmtId="167" formatCode="0.0%"/>
    <numFmt numFmtId="168" formatCode="yyyy-mm-dd"/>
  </numFmts>
  <fonts count="11">
    <font>
      <name val="Calibri"/>
      <family val="2"/>
      <color theme="1"/>
      <sz val="11"/>
      <scheme val="minor"/>
    </font>
    <font>
      <name val="Arial"/>
      <b val="1"/>
      <sz val="14"/>
    </font>
    <font>
      <name val="Arial"/>
      <b val="1"/>
      <i val="1"/>
      <sz val="11"/>
    </font>
    <font>
      <name val="Arial"/>
      <b val="1"/>
    </font>
    <font>
      <name val="Arial"/>
      <color rgb="00000000"/>
    </font>
    <font>
      <name val="Arial"/>
      <b val="1"/>
      <color rgb="00FFFFFF"/>
    </font>
    <font>
      <name val="Arial"/>
      <color rgb="000000FF"/>
    </font>
    <font>
      <name val="Arial"/>
      <i val="1"/>
      <color rgb="00808080"/>
      <sz val="8"/>
    </font>
    <font>
      <name val="Arial"/>
      <i val="1"/>
      <sz val="10"/>
    </font>
    <font>
      <name val="Arial"/>
      <sz val="9"/>
    </font>
    <font>
      <name val="Arial"/>
      <i val="1"/>
      <color rgb="00808080"/>
      <sz val="9"/>
    </font>
  </fonts>
  <fills count="4">
    <fill>
      <patternFill/>
    </fill>
    <fill>
      <patternFill patternType="gray125"/>
    </fill>
    <fill>
      <patternFill patternType="solid">
        <fgColor rgb="001F4E78"/>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8" fillId="0" borderId="0" pivotButton="0" quotePrefix="0" xfId="0"/>
    <xf numFmtId="0" fontId="3" fillId="0" borderId="0" pivotButton="0" quotePrefix="0" xfId="0"/>
    <xf numFmtId="0" fontId="6" fillId="0" borderId="0" pivotButton="0" quotePrefix="0" xfId="0"/>
    <xf numFmtId="0" fontId="9" fillId="3" borderId="0" pivotButton="0" quotePrefix="0" xfId="0"/>
    <xf numFmtId="0" fontId="0" fillId="0" borderId="0" applyAlignment="1" pivotButton="0" quotePrefix="0" xfId="0">
      <alignment vertical="top" wrapText="1"/>
    </xf>
    <xf numFmtId="0" fontId="6" fillId="0" borderId="1" pivotButton="0" quotePrefix="0" xfId="0"/>
    <xf numFmtId="165" fontId="6" fillId="3" borderId="1" pivotButton="0" quotePrefix="0" xfId="0"/>
    <xf numFmtId="4" fontId="6" fillId="3" borderId="1" pivotButton="0" quotePrefix="0" xfId="0"/>
    <xf numFmtId="165" fontId="6" fillId="0" borderId="1" pivotButton="0" quotePrefix="0" xfId="0"/>
    <xf numFmtId="166" fontId="6" fillId="0" borderId="1" pivotButton="0" quotePrefix="0" xfId="0"/>
    <xf numFmtId="165" fontId="4" fillId="0" borderId="1" pivotButton="0" quotePrefix="0" xfId="0"/>
    <xf numFmtId="167" fontId="4" fillId="0" borderId="1" pivotButton="0" quotePrefix="0" xfId="0"/>
    <xf numFmtId="0" fontId="10" fillId="0" borderId="0" applyAlignment="1" pivotButton="0" quotePrefix="0" xfId="0">
      <alignment vertical="top" wrapText="1"/>
    </xf>
    <xf numFmtId="0" fontId="5" fillId="2" borderId="1" applyAlignment="1" pivotButton="0" quotePrefix="0" xfId="0">
      <alignment horizontal="center" vertical="center" wrapText="1"/>
    </xf>
    <xf numFmtId="164" fontId="6" fillId="0" borderId="0" pivotButton="0" quotePrefix="0" xfId="0"/>
    <xf numFmtId="165" fontId="6" fillId="0" borderId="0" pivotButton="0" quotePrefix="0" xfId="0"/>
    <xf numFmtId="0" fontId="7" fillId="0" borderId="0" pivotButton="0" quotePrefix="0" xfId="0"/>
    <xf numFmtId="168" fontId="0" fillId="0" borderId="0" pivotButton="0" quotePrefix="0" xfId="0"/>
    <xf numFmtId="165" fontId="0" fillId="0" borderId="0" pivotButton="0" quotePrefix="0" xfId="0"/>
    <xf numFmtId="0" fontId="7" fillId="0" borderId="0" applyAlignment="1" pivotButton="0" quotePrefix="0" xfId="0">
      <alignment vertical="top" wrapText="1"/>
    </xf>
    <xf numFmtId="167" fontId="0" fillId="0" borderId="0" pivotButton="0" quotePrefix="0" xfId="0"/>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2"/>
  <chart>
    <title>
      <tx>
        <rich>
          <a:bodyPr/>
          <a:p>
            <a:pPr>
              <a:defRPr/>
            </a:pPr>
            <a:r>
              <a:t>Defasagem mensal — Diesel vs. Gasolina (%)</a:t>
            </a:r>
          </a:p>
        </rich>
      </tx>
    </title>
    <plotArea>
      <lineChart>
        <grouping val="standard"/>
        <ser>
          <idx val="0"/>
          <order val="0"/>
          <tx>
            <strRef>
              <f>'Defasagem Histórica (mensal)'!D4</f>
            </strRef>
          </tx>
          <spPr>
            <a:ln>
              <a:prstDash val="solid"/>
            </a:ln>
          </spPr>
          <marker>
            <symbol val="none"/>
            <spPr>
              <a:ln>
                <a:prstDash val="solid"/>
              </a:ln>
            </spPr>
          </marker>
          <cat>
            <numRef>
              <f>'Defasagem Histórica (mensal)'!$A$5:$A$99</f>
            </numRef>
          </cat>
          <val>
            <numRef>
              <f>'Defasagem Histórica (mensal)'!$D$5:$D$99</f>
            </numRef>
          </val>
        </ser>
        <ser>
          <idx val="1"/>
          <order val="1"/>
          <tx>
            <strRef>
              <f>'Defasagem Histórica (mensal)'!G4</f>
            </strRef>
          </tx>
          <spPr>
            <a:ln>
              <a:prstDash val="solid"/>
            </a:ln>
          </spPr>
          <marker>
            <symbol val="none"/>
            <spPr>
              <a:ln>
                <a:prstDash val="solid"/>
              </a:ln>
            </spPr>
          </marker>
          <cat>
            <numRef>
              <f>'Defasagem Histórica (mensal)'!$A$5:$A$99</f>
            </numRef>
          </cat>
          <val>
            <numRef>
              <f>'Defasagem Histórica (mensal)'!$G$5:$G$99</f>
            </numRef>
          </val>
        </ser>
        <axId val="10"/>
        <axId val="100"/>
      </lineChart>
      <catAx>
        <axId val="10"/>
        <scaling>
          <orientation val="minMax"/>
        </scaling>
        <axPos val="l"/>
        <title>
          <tx>
            <rich>
              <a:bodyPr/>
              <a:p>
                <a:pPr>
                  <a:defRPr/>
                </a:pPr>
                <a:r>
                  <a:t>Mês</a:t>
                </a:r>
              </a:p>
            </rich>
          </tx>
        </title>
        <majorTickMark val="none"/>
        <minorTickMark val="none"/>
        <crossAx val="100"/>
        <lblOffset val="100"/>
      </catAx>
      <valAx>
        <axId val="100"/>
        <scaling>
          <orientation val="minMax"/>
        </scaling>
        <axPos val="l"/>
        <majorGridlines/>
        <title>
          <tx>
            <rich>
              <a:bodyPr/>
              <a:p>
                <a:pPr>
                  <a:defRPr/>
                </a:pPr>
                <a:r>
                  <a:t>Defasagem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I19"/>
  <sheetViews>
    <sheetView showGridLines="0" tabSelected="1" workbookViewId="0">
      <selection activeCell="A1" sqref="A1"/>
    </sheetView>
  </sheetViews>
  <sheetFormatPr baseColWidth="8" defaultRowHeight="15"/>
  <cols>
    <col width="2" customWidth="1" min="1" max="1"/>
  </cols>
  <sheetData>
    <row r="2">
      <c r="B2" s="1" t="inlineStr">
        <is>
          <t>PPI — Preço de Paridade de Importação de combustíveis</t>
        </is>
      </c>
    </row>
    <row r="3">
      <c r="B3" s="2" t="inlineStr">
        <is>
          <t>Reprodução do cálculo + série histórica oficial (ANP), 2016–2026</t>
        </is>
      </c>
    </row>
    <row r="5" ht="30" customHeight="1">
      <c r="B5" s="3" t="inlineStr">
        <is>
          <t>O que tem nesta pasta de trabalho</t>
        </is>
      </c>
    </row>
    <row r="6" ht="30" customHeight="1">
      <c r="B6" s="4" t="inlineStr">
        <is>
          <t>• Calculadora PPI — reproduz a fórmula do PPI (cotação internacional + frete, convertido pelo câmbio, mais tributos e custos de internação) de forma editável, célula a célula.</t>
        </is>
      </c>
    </row>
    <row r="7" ht="30" customHeight="1">
      <c r="B7" s="4" t="inlineStr">
        <is>
          <t>• Brent e Câmbio (2016-2026) — série mensal de referência (Brent, EIA/FRED; USD/BRL, Banco Central) usada como insumo/contexto da calculadora.</t>
        </is>
      </c>
    </row>
    <row r="8" ht="30" customHeight="1">
      <c r="B8" s="4" t="inlineStr">
        <is>
          <t>• PPI ANP - Diesel / Gasolina (semanal) — o PPI JÁ CALCULADO pela ANP (metodologia S&amp;P Global Commodity Insights / Abicom-StoneX), semanal, por polo de entrega, nov/2018 a set/2026. Isto é o número oficial, não uma reconstrução.</t>
        </is>
      </c>
    </row>
    <row r="9" ht="30" customHeight="1">
      <c r="B9" s="4" t="inlineStr">
        <is>
          <t>• Preço Realização (semanal) — preço médio ponderado semanal efetivamente praticado pelas refinarias ("preço de realização"), nacional, sem ICMS, para diesel e gasolina, 2016-2026 — fonte ANP.</t>
        </is>
      </c>
    </row>
    <row r="10" ht="30" customHeight="1">
      <c r="B10" s="4" t="inlineStr">
        <is>
          <t>• Defasagem Histórica (mensal) — cruza os dois acima: PPI médio mensal vs. preço de realização médio mensal = defasagem em %, com gráfico. Esta é a série histórica de fato.</t>
        </is>
      </c>
    </row>
    <row r="11" ht="30" customHeight="1">
      <c r="B11" s="4" t="inlineStr">
        <is>
          <t>• Fontes — todos os links e datas de extração.</t>
        </is>
      </c>
    </row>
    <row r="12" ht="8" customHeight="1">
      <c r="B12" s="4" t="inlineStr"/>
    </row>
    <row r="13" ht="30" customHeight="1">
      <c r="B13" s="3" t="inlineStr">
        <is>
          <t>Limitações importantes (leia antes de usar)</t>
        </is>
      </c>
    </row>
    <row r="14" ht="30" customHeight="1">
      <c r="B14" s="4" t="inlineStr">
        <is>
          <t>1. Escopo temporal: a política oficial de paridade de importação da Petrobras só existe desde outubro/2016. A ANP só publica o PPI calculado a partir de nov/2018 — por isso a aba de defasagem histórica começa em nov/2018, não em 2016.</t>
        </is>
      </c>
    </row>
    <row r="15" ht="30" customHeight="1">
      <c r="B15" s="4" t="inlineStr">
        <is>
          <t>2. Fim da política PPI: em 16/05/2023 a Petrobras anunciou o fim oficial da política de paridade de importação, substituindo-a por "custo alternativo do cliente" e "valor marginal". A série de "preço de realização" da ANP continua sendo publicada normalmente depois disso, mas a comparação deixa de refletir uma política de PPI explícita da Petrobras a partir dessa data — trate os meses após mai/2023 como "defasagem vs. paridade de importação de mercado", não "desvio de uma política que a empresa ainda segue".</t>
        </is>
      </c>
    </row>
    <row r="16" ht="30" customHeight="1">
      <c r="B16" s="4" t="inlineStr">
        <is>
          <t>3. PPI = média simples entre os polos de entrega (Manaus, Itaqui, Suape, Aratu, Santos, Paranaguá, Tramandaí, Guamaré, Duque de Caxias, Betim, Cubatão, Mauá, Paulínia, São José dos Campos, Araucária, Canoas), não ponderada por volume. A ANP não publica um "PPI Brasil" único agregado — só por polo. A média simples é uma aproximação nacional, sinalizada em todas as abas onde aparece.</t>
        </is>
      </c>
    </row>
    <row r="17" ht="30" customHeight="1">
      <c r="B17" s="4" t="inlineStr">
        <is>
          <t>4. Nem o PPI da ANP nem o preço de realização incluem tributos (a própria ANP e a Petrobras publicam "sem ICMS" / "sem tributos"). A defasagem calculada aqui é, portanto, na mesma base (sem tributos) dos dois lados — coerente, mas não é o preço final na bomba.</t>
        </is>
      </c>
    </row>
    <row r="18" ht="30" customHeight="1">
      <c r="B18" s="4" t="inlineStr">
        <is>
          <t>5. Frete internacional, margem do importador e alíquotas de PIS/Cofins/ICMS período a período NÃO estão disponíveis publicamente em série pronta (a Abicom detalha isso só para assinantes). Na Calculadora PPI, esses campos ficam em amarelo para você preencher com o valor que tiver — não inventei números para eles.</t>
        </is>
      </c>
    </row>
    <row r="19" ht="30" customHeight="1">
      <c r="B19" s="4" t="inlineStr">
        <is>
          <t>6. A cotação internacional do produto refinado (gasolina RBOB / diesel ULSD, Platts ou Argus) é diferente do preço do petróleo Brent (cru). Brent está aqui só como referência de contexto — ele não é, tecnicamente, o insumo direto da fórmula do PPI. Cole a cotação do produto refinado na célula amarela da Calculadora quando tiver acesso a ela.</t>
        </is>
      </c>
    </row>
  </sheetData>
  <mergeCells count="15">
    <mergeCell ref="B9:I9"/>
    <mergeCell ref="B12:I12"/>
    <mergeCell ref="B13:I13"/>
    <mergeCell ref="B18:I18"/>
    <mergeCell ref="B15:I15"/>
    <mergeCell ref="B7:I7"/>
    <mergeCell ref="B11:I11"/>
    <mergeCell ref="B6:I6"/>
    <mergeCell ref="B16:I16"/>
    <mergeCell ref="B10:I10"/>
    <mergeCell ref="B5:I5"/>
    <mergeCell ref="B14:I14"/>
    <mergeCell ref="B19:I19"/>
    <mergeCell ref="B8:I8"/>
    <mergeCell ref="B17:I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1"/>
  <sheetViews>
    <sheetView showGridLines="0" tabSelected="0" workbookViewId="0">
      <selection activeCell="A1" sqref="A1"/>
    </sheetView>
  </sheetViews>
  <sheetFormatPr baseColWidth="8" defaultRowHeight="15"/>
  <cols>
    <col width="2" customWidth="1" min="1" max="1"/>
    <col width="14" customWidth="1" min="2" max="2"/>
    <col width="14" customWidth="1" min="3" max="3"/>
    <col width="14" customWidth="1" min="4" max="4"/>
    <col width="14" customWidth="1" min="5" max="5"/>
    <col width="14" customWidth="1" min="6" max="6"/>
    <col width="22" customWidth="1" min="7" max="7"/>
  </cols>
  <sheetData>
    <row r="2">
      <c r="B2" s="1" t="inlineStr">
        <is>
          <t>Calculadora PPI — reprodução manual da fórmula</t>
        </is>
      </c>
    </row>
    <row r="3">
      <c r="B3" s="5" t="inlineStr">
        <is>
          <t>PPI (R$/L) = ((Cotação internacional do produto ÷ litros por galão) + (Frete ÷ litros por barril)) × Câmbio + Tributos + Custos de internação</t>
        </is>
      </c>
    </row>
    <row r="5">
      <c r="B5" s="6" t="inlineStr">
        <is>
          <t>Legenda:</t>
        </is>
      </c>
      <c r="C5" s="7" t="inlineStr">
        <is>
          <t>azul = você edita</t>
        </is>
      </c>
      <c r="D5" s="8" t="inlineStr">
        <is>
          <t>amarelo = premissa sem fonte pública confirmada — preencha com o que você tiver</t>
        </is>
      </c>
    </row>
    <row r="6">
      <c r="B6" s="6" t="inlineStr">
        <is>
          <t>Insumos</t>
        </is>
      </c>
    </row>
    <row r="7" ht="28" customHeight="1">
      <c r="B7" s="9" t="inlineStr">
        <is>
          <t>Mês de referência (AAAA-MM)</t>
        </is>
      </c>
      <c r="G7" s="10" t="inlineStr">
        <is>
          <t>2026-08</t>
        </is>
      </c>
    </row>
    <row r="8" ht="28" customHeight="1">
      <c r="B8" s="9" t="inlineStr">
        <is>
          <t>Cotação internacional do produto (US$/galão) — cole aqui Platts/Argus (RBOB gasolina ou ULSD diesel)</t>
        </is>
      </c>
      <c r="G8" s="11" t="n"/>
    </row>
    <row r="9" ht="28" customHeight="1">
      <c r="B9" s="9" t="inlineStr">
        <is>
          <t>Frete internacional (US$/barril)</t>
        </is>
      </c>
      <c r="G9" s="12" t="n">
        <v>0</v>
      </c>
    </row>
    <row r="10" ht="28" customHeight="1">
      <c r="B10" s="9" t="inlineStr">
        <is>
          <t>Câmbio (R$/US$) — puxe da aba 'Brent e Câmbio' pelo mês acima</t>
        </is>
      </c>
      <c r="G10" s="13">
        <f>INDEX('Brent e Câmbio'!C:C,MATCH(G7,'Brent e Câmbio'!A:A,0))</f>
        <v/>
      </c>
    </row>
    <row r="11" ht="28" customHeight="1">
      <c r="B11" s="9" t="inlineStr">
        <is>
          <t>Tributos (R$/L) — 0 para comparar na mesma base do PPI/ANP (sem tributos)</t>
        </is>
      </c>
      <c r="G11" s="11" t="n">
        <v>0</v>
      </c>
    </row>
    <row r="12" ht="28" customHeight="1">
      <c r="B12" s="9" t="inlineStr">
        <is>
          <t>Custos de internação / armazenagem / margem do importador (R$/L)</t>
        </is>
      </c>
      <c r="G12" s="11" t="n">
        <v>0</v>
      </c>
    </row>
    <row r="13" ht="28" customHeight="1">
      <c r="B13" s="9" t="inlineStr">
        <is>
          <t>Litros por galão (constante física)</t>
        </is>
      </c>
      <c r="G13" s="14" t="n">
        <v>3.785411784</v>
      </c>
    </row>
    <row r="14" ht="28" customHeight="1">
      <c r="B14" s="9" t="inlineStr">
        <is>
          <t>Litros por barril (constante física)</t>
        </is>
      </c>
      <c r="G14" s="14" t="n">
        <v>158.987294928</v>
      </c>
    </row>
    <row r="15" ht="28" customHeight="1">
      <c r="B15" s="9" t="inlineStr">
        <is>
          <t>Preço de venda da Petrobras / refinaria (R$/L) — "preço de realização"</t>
        </is>
      </c>
      <c r="G15" s="11" t="n"/>
    </row>
    <row r="18">
      <c r="B18" s="6" t="inlineStr">
        <is>
          <t>Resultado</t>
        </is>
      </c>
    </row>
    <row r="19">
      <c r="B19" t="inlineStr">
        <is>
          <t>PPI calculado (R$/L)</t>
        </is>
      </c>
      <c r="G19" s="15">
        <f>(G8/G13 + G9/G14)*G10 + G11 + G12</f>
        <v/>
      </c>
    </row>
    <row r="20">
      <c r="B20" t="inlineStr">
        <is>
          <t>Defasagem = (PPI − Preço Petrobras) ÷ PPI</t>
        </is>
      </c>
      <c r="G20" s="16">
        <f>IF(G19=0,"",(G19-G15)/G19)</f>
        <v/>
      </c>
    </row>
    <row r="21">
      <c r="B21" s="17" t="inlineStr">
        <is>
          <t>Leitura: defasagem positiva = Petrobras abaixo da paridade de importação ("atrasado"); negativa = Petrobras acima da paridade.</t>
        </is>
      </c>
    </row>
  </sheetData>
  <mergeCells count="14">
    <mergeCell ref="B12:F12"/>
    <mergeCell ref="B7:F7"/>
    <mergeCell ref="B21:I21"/>
    <mergeCell ref="B20:F20"/>
    <mergeCell ref="B15:F15"/>
    <mergeCell ref="B10:F10"/>
    <mergeCell ref="B11:F11"/>
    <mergeCell ref="B19:F19"/>
    <mergeCell ref="B14:F14"/>
    <mergeCell ref="B3:I3"/>
    <mergeCell ref="D5:H5"/>
    <mergeCell ref="B8:F8"/>
    <mergeCell ref="B9:F9"/>
    <mergeCell ref="B13:F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showGridLines="0" tabSelected="0" workbookViewId="0">
      <pane ySplit="2" topLeftCell="A3" activePane="bottomLeft" state="frozen"/>
      <selection pane="bottomLeft" activeCell="A1" sqref="A1"/>
    </sheetView>
  </sheetViews>
  <sheetFormatPr baseColWidth="8" defaultRowHeight="15"/>
  <cols>
    <col width="16" customWidth="1" min="1" max="1"/>
    <col width="18" customWidth="1" min="2" max="2"/>
    <col width="26" customWidth="1" min="3" max="3"/>
    <col width="55" customWidth="1" min="4" max="4"/>
  </cols>
  <sheetData>
    <row r="1">
      <c r="A1" s="6" t="inlineStr">
        <is>
          <t>Brent (EIA/FRED, MCOILBRENTEU) e Câmbio USD/BRL (BCB SGS 3695) — médias mensais</t>
        </is>
      </c>
    </row>
    <row r="2">
      <c r="A2" s="18" t="inlineStr">
        <is>
          <t>Mês</t>
        </is>
      </c>
      <c r="B2" s="18" t="inlineStr">
        <is>
          <t>Brent (US$/barril)</t>
        </is>
      </c>
      <c r="C2" s="18" t="inlineStr">
        <is>
          <t>Câmbio (R$/US$, venda, média mês)</t>
        </is>
      </c>
      <c r="D2" s="18" t="inlineStr">
        <is>
          <t>Fonte</t>
        </is>
      </c>
    </row>
    <row r="3">
      <c r="A3" t="inlineStr">
        <is>
          <t>2016-01</t>
        </is>
      </c>
      <c r="B3" s="19" t="n">
        <v>30.7</v>
      </c>
      <c r="C3" s="20" t="n">
        <v>4.0422</v>
      </c>
      <c r="D3" s="21" t="inlineStr">
        <is>
          <t>EIA/FRED (Brent) + BCB SGS 3695 (câmbio)</t>
        </is>
      </c>
    </row>
    <row r="4">
      <c r="A4" t="inlineStr">
        <is>
          <t>2016-02</t>
        </is>
      </c>
      <c r="B4" s="19" t="n">
        <v>32.18</v>
      </c>
      <c r="C4" s="20" t="n">
        <v>3.979</v>
      </c>
      <c r="D4" s="21" t="inlineStr">
        <is>
          <t>EIA/FRED (Brent) + BCB SGS 3695 (câmbio)</t>
        </is>
      </c>
    </row>
    <row r="5">
      <c r="A5" t="inlineStr">
        <is>
          <t>2016-03</t>
        </is>
      </c>
      <c r="B5" s="19" t="n">
        <v>38.21</v>
      </c>
      <c r="C5" s="20" t="n">
        <v>3.5583</v>
      </c>
      <c r="D5" s="21" t="inlineStr">
        <is>
          <t>EIA/FRED (Brent) + BCB SGS 3695 (câmbio)</t>
        </is>
      </c>
    </row>
    <row r="6">
      <c r="A6" t="inlineStr">
        <is>
          <t>2016-04</t>
        </is>
      </c>
      <c r="B6" s="19" t="n">
        <v>41.58</v>
      </c>
      <c r="C6" s="20" t="n">
        <v>3.4502</v>
      </c>
      <c r="D6" s="21" t="inlineStr">
        <is>
          <t>EIA/FRED (Brent) + BCB SGS 3695 (câmbio)</t>
        </is>
      </c>
    </row>
    <row r="7">
      <c r="A7" t="inlineStr">
        <is>
          <t>2016-05</t>
        </is>
      </c>
      <c r="B7" s="19" t="n">
        <v>46.74</v>
      </c>
      <c r="C7" s="20" t="n">
        <v>3.5945</v>
      </c>
      <c r="D7" s="21" t="inlineStr">
        <is>
          <t>EIA/FRED (Brent) + BCB SGS 3695 (câmbio)</t>
        </is>
      </c>
    </row>
    <row r="8">
      <c r="A8" t="inlineStr">
        <is>
          <t>2016-06</t>
        </is>
      </c>
      <c r="B8" s="19" t="n">
        <v>48.25</v>
      </c>
      <c r="C8" s="20" t="n">
        <v>3.2092</v>
      </c>
      <c r="D8" s="21" t="inlineStr">
        <is>
          <t>EIA/FRED (Brent) + BCB SGS 3695 (câmbio)</t>
        </is>
      </c>
    </row>
    <row r="9">
      <c r="A9" t="inlineStr">
        <is>
          <t>2016-07</t>
        </is>
      </c>
      <c r="B9" s="19" t="n">
        <v>44.95</v>
      </c>
      <c r="C9" s="20" t="n">
        <v>3.2384</v>
      </c>
      <c r="D9" s="21" t="inlineStr">
        <is>
          <t>EIA/FRED (Brent) + BCB SGS 3695 (câmbio)</t>
        </is>
      </c>
    </row>
    <row r="10">
      <c r="A10" t="inlineStr">
        <is>
          <t>2016-08</t>
        </is>
      </c>
      <c r="B10" s="19" t="n">
        <v>45.84</v>
      </c>
      <c r="C10" s="20" t="n">
        <v>3.2397</v>
      </c>
      <c r="D10" s="21" t="inlineStr">
        <is>
          <t>EIA/FRED (Brent) + BCB SGS 3695 (câmbio)</t>
        </is>
      </c>
    </row>
    <row r="11">
      <c r="A11" t="inlineStr">
        <is>
          <t>2016-09</t>
        </is>
      </c>
      <c r="B11" s="19" t="n">
        <v>46.57</v>
      </c>
      <c r="C11" s="20" t="n">
        <v>3.2456</v>
      </c>
      <c r="D11" s="21" t="inlineStr">
        <is>
          <t>EIA/FRED (Brent) + BCB SGS 3695 (câmbio)</t>
        </is>
      </c>
    </row>
    <row r="12">
      <c r="A12" t="inlineStr">
        <is>
          <t>2016-10</t>
        </is>
      </c>
      <c r="B12" s="19" t="n">
        <v>49.52</v>
      </c>
      <c r="C12" s="20" t="n">
        <v>3.1805</v>
      </c>
      <c r="D12" s="21" t="inlineStr">
        <is>
          <t>EIA/FRED (Brent) + BCB SGS 3695 (câmbio)</t>
        </is>
      </c>
    </row>
    <row r="13">
      <c r="A13" t="inlineStr">
        <is>
          <t>2016-11</t>
        </is>
      </c>
      <c r="B13" s="19" t="n">
        <v>44.73</v>
      </c>
      <c r="C13" s="20" t="n">
        <v>3.3961</v>
      </c>
      <c r="D13" s="21" t="inlineStr">
        <is>
          <t>EIA/FRED (Brent) + BCB SGS 3695 (câmbio)</t>
        </is>
      </c>
    </row>
    <row r="14">
      <c r="A14" t="inlineStr">
        <is>
          <t>2016-12</t>
        </is>
      </c>
      <c r="B14" s="19" t="n">
        <v>53.31</v>
      </c>
      <c r="C14" s="20" t="n">
        <v>3.2585</v>
      </c>
      <c r="D14" s="21" t="inlineStr">
        <is>
          <t>EIA/FRED (Brent) + BCB SGS 3695 (câmbio)</t>
        </is>
      </c>
    </row>
    <row r="15">
      <c r="A15" t="inlineStr">
        <is>
          <t>2017-01</t>
        </is>
      </c>
      <c r="B15" s="19" t="n">
        <v>54.58</v>
      </c>
      <c r="C15" s="20" t="n">
        <v>3.1264</v>
      </c>
      <c r="D15" s="21" t="inlineStr">
        <is>
          <t>EIA/FRED (Brent) + BCB SGS 3695 (câmbio)</t>
        </is>
      </c>
    </row>
    <row r="16">
      <c r="A16" t="inlineStr">
        <is>
          <t>2017-02</t>
        </is>
      </c>
      <c r="B16" s="19" t="n">
        <v>54.87</v>
      </c>
      <c r="C16" s="20" t="n">
        <v>3.0987</v>
      </c>
      <c r="D16" s="21" t="inlineStr">
        <is>
          <t>EIA/FRED (Brent) + BCB SGS 3695 (câmbio)</t>
        </is>
      </c>
    </row>
    <row r="17">
      <c r="A17" t="inlineStr">
        <is>
          <t>2017-03</t>
        </is>
      </c>
      <c r="B17" s="19" t="n">
        <v>51.59</v>
      </c>
      <c r="C17" s="20" t="n">
        <v>3.1678</v>
      </c>
      <c r="D17" s="21" t="inlineStr">
        <is>
          <t>EIA/FRED (Brent) + BCB SGS 3695 (câmbio)</t>
        </is>
      </c>
    </row>
    <row r="18">
      <c r="A18" t="inlineStr">
        <is>
          <t>2017-04</t>
        </is>
      </c>
      <c r="B18" s="19" t="n">
        <v>52.31</v>
      </c>
      <c r="C18" s="20" t="n">
        <v>3.1978</v>
      </c>
      <c r="D18" s="21" t="inlineStr">
        <is>
          <t>EIA/FRED (Brent) + BCB SGS 3695 (câmbio)</t>
        </is>
      </c>
    </row>
    <row r="19">
      <c r="A19" t="inlineStr">
        <is>
          <t>2017-05</t>
        </is>
      </c>
      <c r="B19" s="19" t="n">
        <v>50.33</v>
      </c>
      <c r="C19" s="20" t="n">
        <v>3.2431</v>
      </c>
      <c r="D19" s="21" t="inlineStr">
        <is>
          <t>EIA/FRED (Brent) + BCB SGS 3695 (câmbio)</t>
        </is>
      </c>
    </row>
    <row r="20">
      <c r="A20" t="inlineStr">
        <is>
          <t>2017-06</t>
        </is>
      </c>
      <c r="B20" s="19" t="n">
        <v>46.37</v>
      </c>
      <c r="C20" s="20" t="n">
        <v>3.3076</v>
      </c>
      <c r="D20" s="21" t="inlineStr">
        <is>
          <t>EIA/FRED (Brent) + BCB SGS 3695 (câmbio)</t>
        </is>
      </c>
    </row>
    <row r="21">
      <c r="A21" t="inlineStr">
        <is>
          <t>2017-07</t>
        </is>
      </c>
      <c r="B21" s="19" t="n">
        <v>48.48</v>
      </c>
      <c r="C21" s="20" t="n">
        <v>3.1301</v>
      </c>
      <c r="D21" s="21" t="inlineStr">
        <is>
          <t>EIA/FRED (Brent) + BCB SGS 3695 (câmbio)</t>
        </is>
      </c>
    </row>
    <row r="22">
      <c r="A22" t="inlineStr">
        <is>
          <t>2017-08</t>
        </is>
      </c>
      <c r="B22" s="19" t="n">
        <v>51.7</v>
      </c>
      <c r="C22" s="20" t="n">
        <v>3.1465</v>
      </c>
      <c r="D22" s="21" t="inlineStr">
        <is>
          <t>EIA/FRED (Brent) + BCB SGS 3695 (câmbio)</t>
        </is>
      </c>
    </row>
    <row r="23">
      <c r="A23" t="inlineStr">
        <is>
          <t>2017-09</t>
        </is>
      </c>
      <c r="B23" s="19" t="n">
        <v>56.15</v>
      </c>
      <c r="C23" s="20" t="n">
        <v>3.1674</v>
      </c>
      <c r="D23" s="21" t="inlineStr">
        <is>
          <t>EIA/FRED (Brent) + BCB SGS 3695 (câmbio)</t>
        </is>
      </c>
    </row>
    <row r="24">
      <c r="A24" t="inlineStr">
        <is>
          <t>2017-10</t>
        </is>
      </c>
      <c r="B24" s="19" t="n">
        <v>57.51</v>
      </c>
      <c r="C24" s="20" t="n">
        <v>3.2763</v>
      </c>
      <c r="D24" s="21" t="inlineStr">
        <is>
          <t>EIA/FRED (Brent) + BCB SGS 3695 (câmbio)</t>
        </is>
      </c>
    </row>
    <row r="25">
      <c r="A25" t="inlineStr">
        <is>
          <t>2017-11</t>
        </is>
      </c>
      <c r="B25" s="19" t="n">
        <v>62.71</v>
      </c>
      <c r="C25" s="20" t="n">
        <v>3.261</v>
      </c>
      <c r="D25" s="21" t="inlineStr">
        <is>
          <t>EIA/FRED (Brent) + BCB SGS 3695 (câmbio)</t>
        </is>
      </c>
    </row>
    <row r="26">
      <c r="A26" t="inlineStr">
        <is>
          <t>2017-12</t>
        </is>
      </c>
      <c r="B26" s="19" t="n">
        <v>64.37</v>
      </c>
      <c r="C26" s="20" t="n">
        <v>3.3074</v>
      </c>
      <c r="D26" s="21" t="inlineStr">
        <is>
          <t>EIA/FRED (Brent) + BCB SGS 3695 (câmbio)</t>
        </is>
      </c>
    </row>
    <row r="27">
      <c r="A27" t="inlineStr">
        <is>
          <t>2018-01</t>
        </is>
      </c>
      <c r="B27" s="19" t="n">
        <v>69.08</v>
      </c>
      <c r="C27" s="20" t="n">
        <v>3.1618</v>
      </c>
      <c r="D27" s="21" t="inlineStr">
        <is>
          <t>EIA/FRED (Brent) + BCB SGS 3695 (câmbio)</t>
        </is>
      </c>
    </row>
    <row r="28">
      <c r="A28" t="inlineStr">
        <is>
          <t>2018-02</t>
        </is>
      </c>
      <c r="B28" s="19" t="n">
        <v>65.31999999999999</v>
      </c>
      <c r="C28" s="20" t="n">
        <v>3.2443</v>
      </c>
      <c r="D28" s="21" t="inlineStr">
        <is>
          <t>EIA/FRED (Brent) + BCB SGS 3695 (câmbio)</t>
        </is>
      </c>
    </row>
    <row r="29">
      <c r="A29" t="inlineStr">
        <is>
          <t>2018-03</t>
        </is>
      </c>
      <c r="B29" s="19" t="n">
        <v>66.02</v>
      </c>
      <c r="C29" s="20" t="n">
        <v>3.3232</v>
      </c>
      <c r="D29" s="21" t="inlineStr">
        <is>
          <t>EIA/FRED (Brent) + BCB SGS 3695 (câmbio)</t>
        </is>
      </c>
    </row>
    <row r="30">
      <c r="A30" t="inlineStr">
        <is>
          <t>2018-04</t>
        </is>
      </c>
      <c r="B30" s="19" t="n">
        <v>72.11</v>
      </c>
      <c r="C30" s="20" t="n">
        <v>3.4805</v>
      </c>
      <c r="D30" s="21" t="inlineStr">
        <is>
          <t>EIA/FRED (Brent) + BCB SGS 3695 (câmbio)</t>
        </is>
      </c>
    </row>
    <row r="31">
      <c r="A31" t="inlineStr">
        <is>
          <t>2018-05</t>
        </is>
      </c>
      <c r="B31" s="19" t="n">
        <v>76.98</v>
      </c>
      <c r="C31" s="20" t="n">
        <v>3.7364</v>
      </c>
      <c r="D31" s="21" t="inlineStr">
        <is>
          <t>EIA/FRED (Brent) + BCB SGS 3695 (câmbio)</t>
        </is>
      </c>
    </row>
    <row r="32">
      <c r="A32" t="inlineStr">
        <is>
          <t>2018-06</t>
        </is>
      </c>
      <c r="B32" s="19" t="n">
        <v>74.41</v>
      </c>
      <c r="C32" s="20" t="n">
        <v>3.8552</v>
      </c>
      <c r="D32" s="21" t="inlineStr">
        <is>
          <t>EIA/FRED (Brent) + BCB SGS 3695 (câmbio)</t>
        </is>
      </c>
    </row>
    <row r="33">
      <c r="A33" t="inlineStr">
        <is>
          <t>2018-07</t>
        </is>
      </c>
      <c r="B33" s="19" t="n">
        <v>74.25</v>
      </c>
      <c r="C33" s="20" t="n">
        <v>3.7543</v>
      </c>
      <c r="D33" s="21" t="inlineStr">
        <is>
          <t>EIA/FRED (Brent) + BCB SGS 3695 (câmbio)</t>
        </is>
      </c>
    </row>
    <row r="34">
      <c r="A34" t="inlineStr">
        <is>
          <t>2018-08</t>
        </is>
      </c>
      <c r="B34" s="19" t="n">
        <v>72.53</v>
      </c>
      <c r="C34" s="20" t="n">
        <v>4.1347</v>
      </c>
      <c r="D34" s="21" t="inlineStr">
        <is>
          <t>EIA/FRED (Brent) + BCB SGS 3695 (câmbio)</t>
        </is>
      </c>
    </row>
    <row r="35">
      <c r="A35" t="inlineStr">
        <is>
          <t>2018-09</t>
        </is>
      </c>
      <c r="B35" s="19" t="n">
        <v>78.89</v>
      </c>
      <c r="C35" s="20" t="n">
        <v>4.0033</v>
      </c>
      <c r="D35" s="21" t="inlineStr">
        <is>
          <t>EIA/FRED (Brent) + BCB SGS 3695 (câmbio)</t>
        </is>
      </c>
    </row>
    <row r="36">
      <c r="A36" t="inlineStr">
        <is>
          <t>2018-10</t>
        </is>
      </c>
      <c r="B36" s="19" t="n">
        <v>81.03</v>
      </c>
      <c r="C36" s="20" t="n">
        <v>3.7171</v>
      </c>
      <c r="D36" s="21" t="inlineStr">
        <is>
          <t>EIA/FRED (Brent) + BCB SGS 3695 (câmbio)</t>
        </is>
      </c>
    </row>
    <row r="37">
      <c r="A37" t="inlineStr">
        <is>
          <t>2018-11</t>
        </is>
      </c>
      <c r="B37" s="19" t="n">
        <v>64.75</v>
      </c>
      <c r="C37" s="20" t="n">
        <v>3.8627</v>
      </c>
      <c r="D37" s="21" t="inlineStr">
        <is>
          <t>EIA/FRED (Brent) + BCB SGS 3695 (câmbio)</t>
        </is>
      </c>
    </row>
    <row r="38">
      <c r="A38" t="inlineStr">
        <is>
          <t>2018-12</t>
        </is>
      </c>
      <c r="B38" s="19" t="n">
        <v>57.36</v>
      </c>
      <c r="C38" s="20" t="n">
        <v>3.8742</v>
      </c>
      <c r="D38" s="21" t="inlineStr">
        <is>
          <t>EIA/FRED (Brent) + BCB SGS 3695 (câmbio)</t>
        </is>
      </c>
    </row>
    <row r="39">
      <c r="A39" t="inlineStr">
        <is>
          <t>2019-01</t>
        </is>
      </c>
      <c r="B39" s="19" t="n">
        <v>59.41</v>
      </c>
      <c r="C39" s="20" t="n">
        <v>3.6513</v>
      </c>
      <c r="D39" s="21" t="inlineStr">
        <is>
          <t>EIA/FRED (Brent) + BCB SGS 3695 (câmbio)</t>
        </is>
      </c>
    </row>
    <row r="40">
      <c r="A40" t="inlineStr">
        <is>
          <t>2019-02</t>
        </is>
      </c>
      <c r="B40" s="19" t="n">
        <v>63.96</v>
      </c>
      <c r="C40" s="20" t="n">
        <v>3.7379</v>
      </c>
      <c r="D40" s="21" t="inlineStr">
        <is>
          <t>EIA/FRED (Brent) + BCB SGS 3695 (câmbio)</t>
        </is>
      </c>
    </row>
    <row r="41">
      <c r="A41" t="inlineStr">
        <is>
          <t>2019-03</t>
        </is>
      </c>
      <c r="B41" s="19" t="n">
        <v>66.14</v>
      </c>
      <c r="C41" s="20" t="n">
        <v>3.8961</v>
      </c>
      <c r="D41" s="21" t="inlineStr">
        <is>
          <t>EIA/FRED (Brent) + BCB SGS 3695 (câmbio)</t>
        </is>
      </c>
    </row>
    <row r="42">
      <c r="A42" t="inlineStr">
        <is>
          <t>2019-04</t>
        </is>
      </c>
      <c r="B42" s="19" t="n">
        <v>71.23</v>
      </c>
      <c r="C42" s="20" t="n">
        <v>3.9447</v>
      </c>
      <c r="D42" s="21" t="inlineStr">
        <is>
          <t>EIA/FRED (Brent) + BCB SGS 3695 (câmbio)</t>
        </is>
      </c>
    </row>
    <row r="43">
      <c r="A43" t="inlineStr">
        <is>
          <t>2019-05</t>
        </is>
      </c>
      <c r="B43" s="19" t="n">
        <v>71.31999999999999</v>
      </c>
      <c r="C43" s="20" t="n">
        <v>3.9401</v>
      </c>
      <c r="D43" s="21" t="inlineStr">
        <is>
          <t>EIA/FRED (Brent) + BCB SGS 3695 (câmbio)</t>
        </is>
      </c>
    </row>
    <row r="44">
      <c r="A44" t="inlineStr">
        <is>
          <t>2019-06</t>
        </is>
      </c>
      <c r="B44" s="19" t="n">
        <v>64.22</v>
      </c>
      <c r="C44" s="20" t="n">
        <v>3.8316</v>
      </c>
      <c r="D44" s="21" t="inlineStr">
        <is>
          <t>EIA/FRED (Brent) + BCB SGS 3695 (câmbio)</t>
        </is>
      </c>
    </row>
    <row r="45">
      <c r="A45" t="inlineStr">
        <is>
          <t>2019-07</t>
        </is>
      </c>
      <c r="B45" s="19" t="n">
        <v>63.92</v>
      </c>
      <c r="C45" s="20" t="n">
        <v>3.7643</v>
      </c>
      <c r="D45" s="21" t="inlineStr">
        <is>
          <t>EIA/FRED (Brent) + BCB SGS 3695 (câmbio)</t>
        </is>
      </c>
    </row>
    <row r="46">
      <c r="A46" t="inlineStr">
        <is>
          <t>2019-08</t>
        </is>
      </c>
      <c r="B46" s="19" t="n">
        <v>59.04</v>
      </c>
      <c r="C46" s="20" t="n">
        <v>4.1379</v>
      </c>
      <c r="D46" s="21" t="inlineStr">
        <is>
          <t>EIA/FRED (Brent) + BCB SGS 3695 (câmbio)</t>
        </is>
      </c>
    </row>
    <row r="47">
      <c r="A47" t="inlineStr">
        <is>
          <t>2019-09</t>
        </is>
      </c>
      <c r="B47" s="19" t="n">
        <v>62.83</v>
      </c>
      <c r="C47" s="20" t="n">
        <v>4.1638</v>
      </c>
      <c r="D47" s="21" t="inlineStr">
        <is>
          <t>EIA/FRED (Brent) + BCB SGS 3695 (câmbio)</t>
        </is>
      </c>
    </row>
    <row r="48">
      <c r="A48" t="inlineStr">
        <is>
          <t>2019-10</t>
        </is>
      </c>
      <c r="B48" s="19" t="n">
        <v>59.71</v>
      </c>
      <c r="C48" s="20" t="n">
        <v>4.0035</v>
      </c>
      <c r="D48" s="21" t="inlineStr">
        <is>
          <t>EIA/FRED (Brent) + BCB SGS 3695 (câmbio)</t>
        </is>
      </c>
    </row>
    <row r="49">
      <c r="A49" t="inlineStr">
        <is>
          <t>2019-11</t>
        </is>
      </c>
      <c r="B49" s="19" t="n">
        <v>63.21</v>
      </c>
      <c r="C49" s="20" t="n">
        <v>4.2234</v>
      </c>
      <c r="D49" s="21" t="inlineStr">
        <is>
          <t>EIA/FRED (Brent) + BCB SGS 3695 (câmbio)</t>
        </is>
      </c>
    </row>
    <row r="50">
      <c r="A50" t="inlineStr">
        <is>
          <t>2019-12</t>
        </is>
      </c>
      <c r="B50" s="19" t="n">
        <v>67.31</v>
      </c>
      <c r="C50" s="20" t="n">
        <v>4.0301</v>
      </c>
      <c r="D50" s="21" t="inlineStr">
        <is>
          <t>EIA/FRED (Brent) + BCB SGS 3695 (câmbio)</t>
        </is>
      </c>
    </row>
    <row r="51">
      <c r="A51" t="inlineStr">
        <is>
          <t>2020-01</t>
        </is>
      </c>
      <c r="B51" s="19" t="n">
        <v>63.65</v>
      </c>
      <c r="C51" s="20" t="n">
        <v>4.2689</v>
      </c>
      <c r="D51" s="21" t="inlineStr">
        <is>
          <t>EIA/FRED (Brent) + BCB SGS 3695 (câmbio)</t>
        </is>
      </c>
    </row>
    <row r="52">
      <c r="A52" t="inlineStr">
        <is>
          <t>2020-02</t>
        </is>
      </c>
      <c r="B52" s="19" t="n">
        <v>55.66</v>
      </c>
      <c r="C52" s="20" t="n">
        <v>4.4981</v>
      </c>
      <c r="D52" s="21" t="inlineStr">
        <is>
          <t>EIA/FRED (Brent) + BCB SGS 3695 (câmbio)</t>
        </is>
      </c>
    </row>
    <row r="53">
      <c r="A53" t="inlineStr">
        <is>
          <t>2020-03</t>
        </is>
      </c>
      <c r="B53" s="19" t="n">
        <v>32.01</v>
      </c>
      <c r="C53" s="20" t="n">
        <v>5.1981</v>
      </c>
      <c r="D53" s="21" t="inlineStr">
        <is>
          <t>EIA/FRED (Brent) + BCB SGS 3695 (câmbio)</t>
        </is>
      </c>
    </row>
    <row r="54">
      <c r="A54" t="inlineStr">
        <is>
          <t>2020-04</t>
        </is>
      </c>
      <c r="B54" s="19" t="n">
        <v>18.38</v>
      </c>
      <c r="C54" s="20" t="n">
        <v>5.4264</v>
      </c>
      <c r="D54" s="21" t="inlineStr">
        <is>
          <t>EIA/FRED (Brent) + BCB SGS 3695 (câmbio)</t>
        </is>
      </c>
    </row>
    <row r="55">
      <c r="A55" t="inlineStr">
        <is>
          <t>2020-05</t>
        </is>
      </c>
      <c r="B55" s="19" t="n">
        <v>29.38</v>
      </c>
      <c r="C55" s="20" t="n">
        <v>5.4257</v>
      </c>
      <c r="D55" s="21" t="inlineStr">
        <is>
          <t>EIA/FRED (Brent) + BCB SGS 3695 (câmbio)</t>
        </is>
      </c>
    </row>
    <row r="56">
      <c r="A56" t="inlineStr">
        <is>
          <t>2020-06</t>
        </is>
      </c>
      <c r="B56" s="19" t="n">
        <v>40.27</v>
      </c>
      <c r="C56" s="20" t="n">
        <v>5.4754</v>
      </c>
      <c r="D56" s="21" t="inlineStr">
        <is>
          <t>EIA/FRED (Brent) + BCB SGS 3695 (câmbio)</t>
        </is>
      </c>
    </row>
    <row r="57">
      <c r="A57" t="inlineStr">
        <is>
          <t>2020-07</t>
        </is>
      </c>
      <c r="B57" s="19" t="n">
        <v>43.24</v>
      </c>
      <c r="C57" s="20" t="n">
        <v>5.2027</v>
      </c>
      <c r="D57" s="21" t="inlineStr">
        <is>
          <t>EIA/FRED (Brent) + BCB SGS 3695 (câmbio)</t>
        </is>
      </c>
    </row>
    <row r="58">
      <c r="A58" t="inlineStr">
        <is>
          <t>2020-08</t>
        </is>
      </c>
      <c r="B58" s="19" t="n">
        <v>44.74</v>
      </c>
      <c r="C58" s="20" t="n">
        <v>5.4707</v>
      </c>
      <c r="D58" s="21" t="inlineStr">
        <is>
          <t>EIA/FRED (Brent) + BCB SGS 3695 (câmbio)</t>
        </is>
      </c>
    </row>
    <row r="59">
      <c r="A59" t="inlineStr">
        <is>
          <t>2020-09</t>
        </is>
      </c>
      <c r="B59" s="19" t="n">
        <v>40.91</v>
      </c>
      <c r="C59" s="20" t="n">
        <v>5.6401</v>
      </c>
      <c r="D59" s="21" t="inlineStr">
        <is>
          <t>EIA/FRED (Brent) + BCB SGS 3695 (câmbio)</t>
        </is>
      </c>
    </row>
    <row r="60">
      <c r="A60" t="inlineStr">
        <is>
          <t>2020-10</t>
        </is>
      </c>
      <c r="B60" s="19" t="n">
        <v>40.19</v>
      </c>
      <c r="C60" s="20" t="n">
        <v>5.7712</v>
      </c>
      <c r="D60" s="21" t="inlineStr">
        <is>
          <t>EIA/FRED (Brent) + BCB SGS 3695 (câmbio)</t>
        </is>
      </c>
    </row>
    <row r="61">
      <c r="A61" t="inlineStr">
        <is>
          <t>2020-11</t>
        </is>
      </c>
      <c r="B61" s="19" t="n">
        <v>42.69</v>
      </c>
      <c r="C61" s="20" t="n">
        <v>5.3311</v>
      </c>
      <c r="D61" s="21" t="inlineStr">
        <is>
          <t>EIA/FRED (Brent) + BCB SGS 3695 (câmbio)</t>
        </is>
      </c>
    </row>
    <row r="62">
      <c r="A62" t="inlineStr">
        <is>
          <t>2020-12</t>
        </is>
      </c>
      <c r="B62" s="19" t="n">
        <v>49.99</v>
      </c>
      <c r="C62" s="20" t="n">
        <v>5.1961</v>
      </c>
      <c r="D62" s="21" t="inlineStr">
        <is>
          <t>EIA/FRED (Brent) + BCB SGS 3695 (câmbio)</t>
        </is>
      </c>
    </row>
    <row r="63">
      <c r="A63" t="inlineStr">
        <is>
          <t>2021-01</t>
        </is>
      </c>
      <c r="B63" s="19" t="n">
        <v>54.77</v>
      </c>
      <c r="C63" s="20" t="n">
        <v>5.4753</v>
      </c>
      <c r="D63" s="21" t="inlineStr">
        <is>
          <t>EIA/FRED (Brent) + BCB SGS 3695 (câmbio)</t>
        </is>
      </c>
    </row>
    <row r="64">
      <c r="A64" t="inlineStr">
        <is>
          <t>2021-02</t>
        </is>
      </c>
      <c r="B64" s="19" t="n">
        <v>62.28</v>
      </c>
      <c r="C64" s="20" t="n">
        <v>5.5296</v>
      </c>
      <c r="D64" s="21" t="inlineStr">
        <is>
          <t>EIA/FRED (Brent) + BCB SGS 3695 (câmbio)</t>
        </is>
      </c>
    </row>
    <row r="65">
      <c r="A65" t="inlineStr">
        <is>
          <t>2021-03</t>
        </is>
      </c>
      <c r="B65" s="19" t="n">
        <v>65.41</v>
      </c>
      <c r="C65" s="20" t="n">
        <v>5.6967</v>
      </c>
      <c r="D65" s="21" t="inlineStr">
        <is>
          <t>EIA/FRED (Brent) + BCB SGS 3695 (câmbio)</t>
        </is>
      </c>
    </row>
    <row r="66">
      <c r="A66" t="inlineStr">
        <is>
          <t>2021-04</t>
        </is>
      </c>
      <c r="B66" s="19" t="n">
        <v>64.81</v>
      </c>
      <c r="C66" s="20" t="n">
        <v>5.403</v>
      </c>
      <c r="D66" s="21" t="inlineStr">
        <is>
          <t>EIA/FRED (Brent) + BCB SGS 3695 (câmbio)</t>
        </is>
      </c>
    </row>
    <row r="67">
      <c r="A67" t="inlineStr">
        <is>
          <t>2021-05</t>
        </is>
      </c>
      <c r="B67" s="19" t="n">
        <v>68.53</v>
      </c>
      <c r="C67" s="20" t="n">
        <v>5.2316</v>
      </c>
      <c r="D67" s="21" t="inlineStr">
        <is>
          <t>EIA/FRED (Brent) + BCB SGS 3695 (câmbio)</t>
        </is>
      </c>
    </row>
    <row r="68">
      <c r="A68" t="inlineStr">
        <is>
          <t>2021-06</t>
        </is>
      </c>
      <c r="B68" s="19" t="n">
        <v>73.16</v>
      </c>
      <c r="C68" s="20" t="n">
        <v>5.0016</v>
      </c>
      <c r="D68" s="21" t="inlineStr">
        <is>
          <t>EIA/FRED (Brent) + BCB SGS 3695 (câmbio)</t>
        </is>
      </c>
    </row>
    <row r="69">
      <c r="A69" t="inlineStr">
        <is>
          <t>2021-07</t>
        </is>
      </c>
      <c r="B69" s="19" t="n">
        <v>75.17</v>
      </c>
      <c r="C69" s="20" t="n">
        <v>5.121</v>
      </c>
      <c r="D69" s="21" t="inlineStr">
        <is>
          <t>EIA/FRED (Brent) + BCB SGS 3695 (câmbio)</t>
        </is>
      </c>
    </row>
    <row r="70">
      <c r="A70" t="inlineStr">
        <is>
          <t>2021-08</t>
        </is>
      </c>
      <c r="B70" s="19" t="n">
        <v>70.75</v>
      </c>
      <c r="C70" s="20" t="n">
        <v>5.1427</v>
      </c>
      <c r="D70" s="21" t="inlineStr">
        <is>
          <t>EIA/FRED (Brent) + BCB SGS 3695 (câmbio)</t>
        </is>
      </c>
    </row>
    <row r="71">
      <c r="A71" t="inlineStr">
        <is>
          <t>2021-09</t>
        </is>
      </c>
      <c r="B71" s="19" t="n">
        <v>74.48999999999999</v>
      </c>
      <c r="C71" s="20" t="n">
        <v>5.4388</v>
      </c>
      <c r="D71" s="21" t="inlineStr">
        <is>
          <t>EIA/FRED (Brent) + BCB SGS 3695 (câmbio)</t>
        </is>
      </c>
    </row>
    <row r="72">
      <c r="A72" t="inlineStr">
        <is>
          <t>2021-10</t>
        </is>
      </c>
      <c r="B72" s="19" t="n">
        <v>83.54000000000001</v>
      </c>
      <c r="C72" s="20" t="n">
        <v>5.6424</v>
      </c>
      <c r="D72" s="21" t="inlineStr">
        <is>
          <t>EIA/FRED (Brent) + BCB SGS 3695 (câmbio)</t>
        </is>
      </c>
    </row>
    <row r="73">
      <c r="A73" t="inlineStr">
        <is>
          <t>2021-11</t>
        </is>
      </c>
      <c r="B73" s="19" t="n">
        <v>81.05</v>
      </c>
      <c r="C73" s="20" t="n">
        <v>5.6193</v>
      </c>
      <c r="D73" s="21" t="inlineStr">
        <is>
          <t>EIA/FRED (Brent) + BCB SGS 3695 (câmbio)</t>
        </is>
      </c>
    </row>
    <row r="74">
      <c r="A74" t="inlineStr">
        <is>
          <t>2021-12</t>
        </is>
      </c>
      <c r="B74" s="19" t="n">
        <v>74.17</v>
      </c>
      <c r="C74" s="20" t="n">
        <v>5.5799</v>
      </c>
      <c r="D74" s="21" t="inlineStr">
        <is>
          <t>EIA/FRED (Brent) + BCB SGS 3695 (câmbio)</t>
        </is>
      </c>
    </row>
    <row r="75">
      <c r="A75" t="inlineStr">
        <is>
          <t>2022-01</t>
        </is>
      </c>
      <c r="B75" s="19" t="n">
        <v>86.51000000000001</v>
      </c>
      <c r="C75" s="20" t="n">
        <v>5.3568</v>
      </c>
      <c r="D75" s="21" t="inlineStr">
        <is>
          <t>EIA/FRED (Brent) + BCB SGS 3695 (câmbio)</t>
        </is>
      </c>
    </row>
    <row r="76">
      <c r="A76" t="inlineStr">
        <is>
          <t>2022-02</t>
        </is>
      </c>
      <c r="B76" s="19" t="n">
        <v>97.13</v>
      </c>
      <c r="C76" s="20" t="n">
        <v>5.1388</v>
      </c>
      <c r="D76" s="21" t="inlineStr">
        <is>
          <t>EIA/FRED (Brent) + BCB SGS 3695 (câmbio)</t>
        </is>
      </c>
    </row>
    <row r="77">
      <c r="A77" t="inlineStr">
        <is>
          <t>2022-03</t>
        </is>
      </c>
      <c r="B77" s="19" t="n">
        <v>117.25</v>
      </c>
      <c r="C77" s="20" t="n">
        <v>4.7372</v>
      </c>
      <c r="D77" s="21" t="inlineStr">
        <is>
          <t>EIA/FRED (Brent) + BCB SGS 3695 (câmbio)</t>
        </is>
      </c>
    </row>
    <row r="78">
      <c r="A78" t="inlineStr">
        <is>
          <t>2022-04</t>
        </is>
      </c>
      <c r="B78" s="19" t="n">
        <v>104.58</v>
      </c>
      <c r="C78" s="20" t="n">
        <v>4.9185</v>
      </c>
      <c r="D78" s="21" t="inlineStr">
        <is>
          <t>EIA/FRED (Brent) + BCB SGS 3695 (câmbio)</t>
        </is>
      </c>
    </row>
    <row r="79">
      <c r="A79" t="inlineStr">
        <is>
          <t>2022-05</t>
        </is>
      </c>
      <c r="B79" s="19" t="n">
        <v>113.34</v>
      </c>
      <c r="C79" s="20" t="n">
        <v>4.7283</v>
      </c>
      <c r="D79" s="21" t="inlineStr">
        <is>
          <t>EIA/FRED (Brent) + BCB SGS 3695 (câmbio)</t>
        </is>
      </c>
    </row>
    <row r="80">
      <c r="A80" t="inlineStr">
        <is>
          <t>2022-06</t>
        </is>
      </c>
      <c r="B80" s="19" t="n">
        <v>122.71</v>
      </c>
      <c r="C80" s="20" t="n">
        <v>5.2374</v>
      </c>
      <c r="D80" s="21" t="inlineStr">
        <is>
          <t>EIA/FRED (Brent) + BCB SGS 3695 (câmbio)</t>
        </is>
      </c>
    </row>
    <row r="81">
      <c r="A81" t="inlineStr">
        <is>
          <t>2022-07</t>
        </is>
      </c>
      <c r="B81" s="19" t="n">
        <v>111.93</v>
      </c>
      <c r="C81" s="20" t="n">
        <v>5.1878</v>
      </c>
      <c r="D81" s="21" t="inlineStr">
        <is>
          <t>EIA/FRED (Brent) + BCB SGS 3695 (câmbio)</t>
        </is>
      </c>
    </row>
    <row r="82">
      <c r="A82" t="inlineStr">
        <is>
          <t>2022-08</t>
        </is>
      </c>
      <c r="B82" s="19" t="n">
        <v>100.45</v>
      </c>
      <c r="C82" s="20" t="n">
        <v>5.1784</v>
      </c>
      <c r="D82" s="21" t="inlineStr">
        <is>
          <t>EIA/FRED (Brent) + BCB SGS 3695 (câmbio)</t>
        </is>
      </c>
    </row>
    <row r="83">
      <c r="A83" t="inlineStr">
        <is>
          <t>2022-09</t>
        </is>
      </c>
      <c r="B83" s="19" t="n">
        <v>89.76000000000001</v>
      </c>
      <c r="C83" s="20" t="n">
        <v>5.406</v>
      </c>
      <c r="D83" s="21" t="inlineStr">
        <is>
          <t>EIA/FRED (Brent) + BCB SGS 3695 (câmbio)</t>
        </is>
      </c>
    </row>
    <row r="84">
      <c r="A84" t="inlineStr">
        <is>
          <t>2022-10</t>
        </is>
      </c>
      <c r="B84" s="19" t="n">
        <v>93.33</v>
      </c>
      <c r="C84" s="20" t="n">
        <v>5.2564</v>
      </c>
      <c r="D84" s="21" t="inlineStr">
        <is>
          <t>EIA/FRED (Brent) + BCB SGS 3695 (câmbio)</t>
        </is>
      </c>
    </row>
    <row r="85">
      <c r="A85" t="inlineStr">
        <is>
          <t>2022-11</t>
        </is>
      </c>
      <c r="B85" s="19" t="n">
        <v>91.42</v>
      </c>
      <c r="C85" s="20" t="n">
        <v>5.2935</v>
      </c>
      <c r="D85" s="21" t="inlineStr">
        <is>
          <t>EIA/FRED (Brent) + BCB SGS 3695 (câmbio)</t>
        </is>
      </c>
    </row>
    <row r="86">
      <c r="A86" t="inlineStr">
        <is>
          <t>2022-12</t>
        </is>
      </c>
      <c r="B86" s="19" t="n">
        <v>80.92</v>
      </c>
      <c r="C86" s="20" t="n">
        <v>5.2171</v>
      </c>
      <c r="D86" s="21" t="inlineStr">
        <is>
          <t>EIA/FRED (Brent) + BCB SGS 3695 (câmbio)</t>
        </is>
      </c>
    </row>
    <row r="87">
      <c r="A87" t="inlineStr">
        <is>
          <t>2023-01</t>
        </is>
      </c>
      <c r="B87" s="19" t="n">
        <v>82.5</v>
      </c>
      <c r="C87" s="20" t="n">
        <v>5.0987</v>
      </c>
      <c r="D87" s="21" t="inlineStr">
        <is>
          <t>EIA/FRED (Brent) + BCB SGS 3695 (câmbio)</t>
        </is>
      </c>
    </row>
    <row r="88">
      <c r="A88" t="inlineStr">
        <is>
          <t>2023-02</t>
        </is>
      </c>
      <c r="B88" s="19" t="n">
        <v>82.59</v>
      </c>
      <c r="C88" s="20" t="n">
        <v>5.2072</v>
      </c>
      <c r="D88" s="21" t="inlineStr">
        <is>
          <t>EIA/FRED (Brent) + BCB SGS 3695 (câmbio)</t>
        </is>
      </c>
    </row>
    <row r="89">
      <c r="A89" t="inlineStr">
        <is>
          <t>2023-03</t>
        </is>
      </c>
      <c r="B89" s="19" t="n">
        <v>78.43000000000001</v>
      </c>
      <c r="C89" s="20" t="n">
        <v>5.0798</v>
      </c>
      <c r="D89" s="21" t="inlineStr">
        <is>
          <t>EIA/FRED (Brent) + BCB SGS 3695 (câmbio)</t>
        </is>
      </c>
    </row>
    <row r="90">
      <c r="A90" t="inlineStr">
        <is>
          <t>2023-04</t>
        </is>
      </c>
      <c r="B90" s="19" t="n">
        <v>84.64</v>
      </c>
      <c r="C90" s="20" t="n">
        <v>5.0001</v>
      </c>
      <c r="D90" s="21" t="inlineStr">
        <is>
          <t>EIA/FRED (Brent) + BCB SGS 3695 (câmbio)</t>
        </is>
      </c>
    </row>
    <row r="91">
      <c r="A91" t="inlineStr">
        <is>
          <t>2023-05</t>
        </is>
      </c>
      <c r="B91" s="19" t="n">
        <v>75.47</v>
      </c>
      <c r="C91" s="20" t="n">
        <v>5.0953</v>
      </c>
      <c r="D91" s="21" t="inlineStr">
        <is>
          <t>EIA/FRED (Brent) + BCB SGS 3695 (câmbio)</t>
        </is>
      </c>
    </row>
    <row r="92">
      <c r="A92" t="inlineStr">
        <is>
          <t>2023-06</t>
        </is>
      </c>
      <c r="B92" s="19" t="n">
        <v>74.84</v>
      </c>
      <c r="C92" s="20" t="n">
        <v>4.8186</v>
      </c>
      <c r="D92" s="21" t="inlineStr">
        <is>
          <t>EIA/FRED (Brent) + BCB SGS 3695 (câmbio)</t>
        </is>
      </c>
    </row>
    <row r="93">
      <c r="A93" t="inlineStr">
        <is>
          <t>2023-07</t>
        </is>
      </c>
      <c r="B93" s="19" t="n">
        <v>80.11</v>
      </c>
      <c r="C93" s="20" t="n">
        <v>4.7409</v>
      </c>
      <c r="D93" s="21" t="inlineStr">
        <is>
          <t>EIA/FRED (Brent) + BCB SGS 3695 (câmbio)</t>
        </is>
      </c>
    </row>
    <row r="94">
      <c r="A94" t="inlineStr">
        <is>
          <t>2023-08</t>
        </is>
      </c>
      <c r="B94" s="19" t="n">
        <v>86.15000000000001</v>
      </c>
      <c r="C94" s="20" t="n">
        <v>4.9213</v>
      </c>
      <c r="D94" s="21" t="inlineStr">
        <is>
          <t>EIA/FRED (Brent) + BCB SGS 3695 (câmbio)</t>
        </is>
      </c>
    </row>
    <row r="95">
      <c r="A95" t="inlineStr">
        <is>
          <t>2023-09</t>
        </is>
      </c>
      <c r="B95" s="19" t="n">
        <v>93.72</v>
      </c>
      <c r="C95" s="20" t="n">
        <v>5.007</v>
      </c>
      <c r="D95" s="21" t="inlineStr">
        <is>
          <t>EIA/FRED (Brent) + BCB SGS 3695 (câmbio)</t>
        </is>
      </c>
    </row>
    <row r="96">
      <c r="A96" t="inlineStr">
        <is>
          <t>2023-10</t>
        </is>
      </c>
      <c r="B96" s="19" t="n">
        <v>90.59999999999999</v>
      </c>
      <c r="C96" s="20" t="n">
        <v>5.0569</v>
      </c>
      <c r="D96" s="21" t="inlineStr">
        <is>
          <t>EIA/FRED (Brent) + BCB SGS 3695 (câmbio)</t>
        </is>
      </c>
    </row>
    <row r="97">
      <c r="A97" t="inlineStr">
        <is>
          <t>2023-11</t>
        </is>
      </c>
      <c r="B97" s="19" t="n">
        <v>82.94</v>
      </c>
      <c r="C97" s="20" t="n">
        <v>4.9349</v>
      </c>
      <c r="D97" s="21" t="inlineStr">
        <is>
          <t>EIA/FRED (Brent) + BCB SGS 3695 (câmbio)</t>
        </is>
      </c>
    </row>
    <row r="98">
      <c r="A98" t="inlineStr">
        <is>
          <t>2023-12</t>
        </is>
      </c>
      <c r="B98" s="19" t="n">
        <v>77.63</v>
      </c>
      <c r="C98" s="20" t="n">
        <v>4.8407</v>
      </c>
      <c r="D98" s="21" t="inlineStr">
        <is>
          <t>EIA/FRED (Brent) + BCB SGS 3695 (câmbio)</t>
        </is>
      </c>
    </row>
    <row r="99">
      <c r="A99" t="inlineStr">
        <is>
          <t>2024-01</t>
        </is>
      </c>
      <c r="B99" s="19" t="n">
        <v>80.12</v>
      </c>
      <c r="C99" s="20" t="n">
        <v>4.9529</v>
      </c>
      <c r="D99" s="21" t="inlineStr">
        <is>
          <t>EIA/FRED (Brent) + BCB SGS 3695 (câmbio)</t>
        </is>
      </c>
    </row>
    <row r="100">
      <c r="A100" t="inlineStr">
        <is>
          <t>2024-02</t>
        </is>
      </c>
      <c r="B100" s="19" t="n">
        <v>83.48</v>
      </c>
      <c r="C100" s="20" t="n">
        <v>4.9827</v>
      </c>
      <c r="D100" s="21" t="inlineStr">
        <is>
          <t>EIA/FRED (Brent) + BCB SGS 3695 (câmbio)</t>
        </is>
      </c>
    </row>
    <row r="101">
      <c r="A101" t="inlineStr">
        <is>
          <t>2024-03</t>
        </is>
      </c>
      <c r="B101" s="19" t="n">
        <v>85.41</v>
      </c>
      <c r="C101" s="20" t="n">
        <v>4.9956</v>
      </c>
      <c r="D101" s="21" t="inlineStr">
        <is>
          <t>EIA/FRED (Brent) + BCB SGS 3695 (câmbio)</t>
        </is>
      </c>
    </row>
    <row r="102">
      <c r="A102" t="inlineStr">
        <is>
          <t>2024-04</t>
        </is>
      </c>
      <c r="B102" s="19" t="n">
        <v>89.94</v>
      </c>
      <c r="C102" s="20" t="n">
        <v>5.1712</v>
      </c>
      <c r="D102" s="21" t="inlineStr">
        <is>
          <t>EIA/FRED (Brent) + BCB SGS 3695 (câmbio)</t>
        </is>
      </c>
    </row>
    <row r="103">
      <c r="A103" t="inlineStr">
        <is>
          <t>2024-05</t>
        </is>
      </c>
      <c r="B103" s="19" t="n">
        <v>81.75</v>
      </c>
      <c r="C103" s="20" t="n">
        <v>5.241</v>
      </c>
      <c r="D103" s="21" t="inlineStr">
        <is>
          <t>EIA/FRED (Brent) + BCB SGS 3695 (câmbio)</t>
        </is>
      </c>
    </row>
    <row r="104">
      <c r="A104" t="inlineStr">
        <is>
          <t>2024-06</t>
        </is>
      </c>
      <c r="B104" s="19" t="n">
        <v>82.25</v>
      </c>
      <c r="C104" s="20" t="n">
        <v>5.5583</v>
      </c>
      <c r="D104" s="21" t="inlineStr">
        <is>
          <t>EIA/FRED (Brent) + BCB SGS 3695 (câmbio)</t>
        </is>
      </c>
    </row>
    <row r="105">
      <c r="A105" t="inlineStr">
        <is>
          <t>2024-07</t>
        </is>
      </c>
      <c r="B105" s="19" t="n">
        <v>85.15000000000001</v>
      </c>
      <c r="C105" s="20" t="n">
        <v>5.6615</v>
      </c>
      <c r="D105" s="21" t="inlineStr">
        <is>
          <t>EIA/FRED (Brent) + BCB SGS 3695 (câmbio)</t>
        </is>
      </c>
    </row>
    <row r="106">
      <c r="A106" t="inlineStr">
        <is>
          <t>2024-08</t>
        </is>
      </c>
      <c r="B106" s="19" t="n">
        <v>80.36</v>
      </c>
      <c r="C106" s="20" t="n">
        <v>5.6556</v>
      </c>
      <c r="D106" s="21" t="inlineStr">
        <is>
          <t>EIA/FRED (Brent) + BCB SGS 3695 (câmbio)</t>
        </is>
      </c>
    </row>
    <row r="107">
      <c r="A107" t="inlineStr">
        <is>
          <t>2024-09</t>
        </is>
      </c>
      <c r="B107" s="19" t="n">
        <v>74.02</v>
      </c>
      <c r="C107" s="20" t="n">
        <v>5.4475</v>
      </c>
      <c r="D107" s="21" t="inlineStr">
        <is>
          <t>EIA/FRED (Brent) + BCB SGS 3695 (câmbio)</t>
        </is>
      </c>
    </row>
    <row r="108">
      <c r="A108" t="inlineStr">
        <is>
          <t>2024-10</t>
        </is>
      </c>
      <c r="B108" s="19" t="n">
        <v>75.63</v>
      </c>
      <c r="C108" s="20" t="n">
        <v>5.7773</v>
      </c>
      <c r="D108" s="21" t="inlineStr">
        <is>
          <t>EIA/FRED (Brent) + BCB SGS 3695 (câmbio)</t>
        </is>
      </c>
    </row>
    <row r="109">
      <c r="A109" t="inlineStr">
        <is>
          <t>2024-11</t>
        </is>
      </c>
      <c r="B109" s="19" t="n">
        <v>74.34999999999999</v>
      </c>
      <c r="C109" s="20" t="n">
        <v>6.0529</v>
      </c>
      <c r="D109" s="21" t="inlineStr">
        <is>
          <t>EIA/FRED (Brent) + BCB SGS 3695 (câmbio)</t>
        </is>
      </c>
    </row>
    <row r="110">
      <c r="A110" t="inlineStr">
        <is>
          <t>2024-12</t>
        </is>
      </c>
      <c r="B110" s="19" t="n">
        <v>73.86</v>
      </c>
      <c r="C110" s="20" t="n">
        <v>6.1917</v>
      </c>
      <c r="D110" s="21" t="inlineStr">
        <is>
          <t>EIA/FRED (Brent) + BCB SGS 3695 (câmbio)</t>
        </is>
      </c>
    </row>
    <row r="111">
      <c r="A111" t="inlineStr">
        <is>
          <t>2025-01</t>
        </is>
      </c>
      <c r="B111" s="19" t="n">
        <v>79.27</v>
      </c>
      <c r="C111" s="20" t="n">
        <v>5.8295</v>
      </c>
      <c r="D111" s="21" t="inlineStr">
        <is>
          <t>EIA/FRED (Brent) + BCB SGS 3695 (câmbio)</t>
        </is>
      </c>
    </row>
    <row r="112">
      <c r="A112" t="inlineStr">
        <is>
          <t>2025-02</t>
        </is>
      </c>
      <c r="B112" s="19" t="n">
        <v>75.44</v>
      </c>
      <c r="C112" s="20" t="n">
        <v>5.8482</v>
      </c>
      <c r="D112" s="21" t="inlineStr">
        <is>
          <t>EIA/FRED (Brent) + BCB SGS 3695 (câmbio)</t>
        </is>
      </c>
    </row>
    <row r="113">
      <c r="A113" t="inlineStr">
        <is>
          <t>2025-03</t>
        </is>
      </c>
      <c r="B113" s="19" t="n">
        <v>72.73</v>
      </c>
      <c r="C113" s="20" t="n">
        <v>5.7416</v>
      </c>
      <c r="D113" s="21" t="inlineStr">
        <is>
          <t>EIA/FRED (Brent) + BCB SGS 3695 (câmbio)</t>
        </is>
      </c>
    </row>
    <row r="114">
      <c r="A114" t="inlineStr">
        <is>
          <t>2025-04</t>
        </is>
      </c>
      <c r="B114" s="19" t="n">
        <v>68.13</v>
      </c>
      <c r="C114" s="20" t="n">
        <v>5.6602</v>
      </c>
      <c r="D114" s="21" t="inlineStr">
        <is>
          <t>EIA/FRED (Brent) + BCB SGS 3695 (câmbio)</t>
        </is>
      </c>
    </row>
    <row r="115">
      <c r="A115" t="inlineStr">
        <is>
          <t>2025-05</t>
        </is>
      </c>
      <c r="B115" s="19" t="n">
        <v>64.45</v>
      </c>
      <c r="C115" s="20" t="n">
        <v>5.7081</v>
      </c>
      <c r="D115" s="21" t="inlineStr">
        <is>
          <t>EIA/FRED (Brent) + BCB SGS 3695 (câmbio)</t>
        </is>
      </c>
    </row>
    <row r="116">
      <c r="A116" t="inlineStr">
        <is>
          <t>2025-06</t>
        </is>
      </c>
      <c r="B116" s="19" t="n">
        <v>71.44</v>
      </c>
      <c r="C116" s="20" t="n">
        <v>5.4565</v>
      </c>
      <c r="D116" s="21" t="inlineStr">
        <is>
          <t>EIA/FRED (Brent) + BCB SGS 3695 (câmbio)</t>
        </is>
      </c>
    </row>
    <row r="117">
      <c r="A117" t="inlineStr">
        <is>
          <t>2025-07</t>
        </is>
      </c>
      <c r="B117" s="19" t="n">
        <v>71.04000000000001</v>
      </c>
      <c r="C117" s="20" t="n">
        <v>5.6015</v>
      </c>
      <c r="D117" s="21" t="inlineStr">
        <is>
          <t>EIA/FRED (Brent) + BCB SGS 3695 (câmbio)</t>
        </is>
      </c>
    </row>
    <row r="118">
      <c r="A118" t="inlineStr">
        <is>
          <t>2025-08</t>
        </is>
      </c>
      <c r="B118" s="19" t="n">
        <v>67.87</v>
      </c>
      <c r="C118" s="20" t="n">
        <v>5.4258</v>
      </c>
      <c r="D118" s="21" t="inlineStr">
        <is>
          <t>EIA/FRED (Brent) + BCB SGS 3695 (câmbio)</t>
        </is>
      </c>
    </row>
    <row r="119">
      <c r="A119" t="inlineStr">
        <is>
          <t>2025-09</t>
        </is>
      </c>
      <c r="B119" s="19" t="n">
        <v>67.98999999999999</v>
      </c>
      <c r="C119" s="20" t="n">
        <v>5.318</v>
      </c>
      <c r="D119" s="21" t="inlineStr">
        <is>
          <t>EIA/FRED (Brent) + BCB SGS 3695 (câmbio)</t>
        </is>
      </c>
    </row>
    <row r="120">
      <c r="A120" t="inlineStr">
        <is>
          <t>2025-10</t>
        </is>
      </c>
      <c r="B120" s="19" t="n">
        <v>64.54000000000001</v>
      </c>
      <c r="C120" s="20" t="n">
        <v>5.3837</v>
      </c>
      <c r="D120" s="21" t="inlineStr">
        <is>
          <t>EIA/FRED (Brent) + BCB SGS 3695 (câmbio)</t>
        </is>
      </c>
    </row>
    <row r="121">
      <c r="A121" t="inlineStr">
        <is>
          <t>2025-11</t>
        </is>
      </c>
      <c r="B121" s="19" t="n">
        <v>63.8</v>
      </c>
      <c r="C121" s="20" t="n">
        <v>5.3332</v>
      </c>
      <c r="D121" s="21" t="inlineStr">
        <is>
          <t>EIA/FRED (Brent) + BCB SGS 3695 (câmbio)</t>
        </is>
      </c>
    </row>
    <row r="122">
      <c r="A122" t="inlineStr">
        <is>
          <t>2025-12</t>
        </is>
      </c>
      <c r="B122" s="19" t="n">
        <v>62.54</v>
      </c>
      <c r="C122" s="20" t="n">
        <v>5.5018</v>
      </c>
      <c r="D122" s="21" t="inlineStr">
        <is>
          <t>EIA/FRED (Brent) + BCB SGS 3695 (câmbio)</t>
        </is>
      </c>
    </row>
    <row r="123">
      <c r="A123" t="inlineStr">
        <is>
          <t>2026-01</t>
        </is>
      </c>
      <c r="B123" s="19" t="n">
        <v>66.59999999999999</v>
      </c>
      <c r="C123" s="20" t="n">
        <v>5.2295</v>
      </c>
      <c r="D123" s="21" t="inlineStr">
        <is>
          <t>EIA/FRED (Brent) + BCB SGS 3695 (câmbio)</t>
        </is>
      </c>
    </row>
    <row r="124">
      <c r="A124" t="inlineStr">
        <is>
          <t>2026-02</t>
        </is>
      </c>
      <c r="B124" s="19" t="n">
        <v>70.89</v>
      </c>
      <c r="C124" s="20" t="n">
        <v>5.1489</v>
      </c>
      <c r="D124" s="21" t="inlineStr">
        <is>
          <t>EIA/FRED (Brent) + BCB SGS 3695 (câmbio)</t>
        </is>
      </c>
    </row>
    <row r="125">
      <c r="A125" t="inlineStr">
        <is>
          <t>2026-03</t>
        </is>
      </c>
      <c r="B125" s="19" t="n">
        <v>103.13</v>
      </c>
      <c r="C125" s="20" t="n">
        <v>5.2188</v>
      </c>
      <c r="D125" s="21" t="inlineStr">
        <is>
          <t>EIA/FRED (Brent) + BCB SGS 3695 (câmbio)</t>
        </is>
      </c>
    </row>
    <row r="126">
      <c r="A126" t="inlineStr">
        <is>
          <t>2026-04</t>
        </is>
      </c>
      <c r="B126" s="19" t="n">
        <v>117.29</v>
      </c>
      <c r="C126" s="20" t="n">
        <v>4.988</v>
      </c>
      <c r="D126" s="21" t="inlineStr">
        <is>
          <t>EIA/FRED (Brent) + BCB SGS 3695 (câmbio)</t>
        </is>
      </c>
    </row>
    <row r="127">
      <c r="A127" t="inlineStr">
        <is>
          <t>2026-05</t>
        </is>
      </c>
      <c r="B127" s="19" t="n">
        <v>107.14</v>
      </c>
      <c r="C127" s="20" t="n">
        <v>5.0563</v>
      </c>
      <c r="D127" s="21" t="inlineStr">
        <is>
          <t>EIA/FRED (Brent) + BCB SGS 3695 (câmbio)</t>
        </is>
      </c>
    </row>
    <row r="128">
      <c r="A128" t="inlineStr">
        <is>
          <t>2026-06</t>
        </is>
      </c>
      <c r="B128" s="19" t="n">
        <v>85.40000000000001</v>
      </c>
      <c r="C128" s="20" t="n">
        <v>5.176</v>
      </c>
      <c r="D128" s="21" t="inlineStr">
        <is>
          <t>EIA/FRED (Brent) + BCB SGS 3695 (câmbio)</t>
        </is>
      </c>
    </row>
    <row r="129">
      <c r="A129" t="inlineStr">
        <is>
          <t>2026-07</t>
        </is>
      </c>
      <c r="B129" s="19" t="n">
        <v>83.76000000000001</v>
      </c>
      <c r="C129" s="20" t="n">
        <v>5.0767</v>
      </c>
      <c r="D129" s="21" t="inlineStr">
        <is>
          <t>EIA/FRED (Brent) + BCB SGS 3695 (câmbio)</t>
        </is>
      </c>
    </row>
    <row r="130">
      <c r="A130" t="inlineStr">
        <is>
          <t>2026-08</t>
        </is>
      </c>
      <c r="B130" s="19" t="n">
        <v>91.08</v>
      </c>
      <c r="C130" s="20" t="n">
        <v>5.181</v>
      </c>
      <c r="D130" s="21" t="inlineStr">
        <is>
          <t>EIA/FRED (Brent) + BCB SGS 3695 (câmbio)</t>
        </is>
      </c>
    </row>
    <row r="131">
      <c r="A131" t="inlineStr">
        <is>
          <t>2026-09 (parcial)</t>
        </is>
      </c>
      <c r="D131" s="21" t="inlineStr">
        <is>
          <t>Mês ainda não fechado em 28/09/2026 — câmbio diário oscilando entre R$5,09 e R$5,22 (BCB SGS 1); Brent só disponível como média mensal em out/2026</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16"/>
  <sheetViews>
    <sheetView showGridLines="0" tabSelected="0"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4" customWidth="1" min="20" max="20"/>
  </cols>
  <sheetData>
    <row r="1">
      <c r="A1" s="6" t="inlineStr">
        <is>
          <t>PPI oficial ANP — Diesel (semanal) — médio semanal por polo (R$/litro, sem tributos)</t>
        </is>
      </c>
    </row>
    <row r="2">
      <c r="A2" s="18" t="inlineStr">
        <is>
          <t>Semana início</t>
        </is>
      </c>
      <c r="B2" s="18" t="inlineStr">
        <is>
          <t>Semana fim</t>
        </is>
      </c>
      <c r="C2" s="18" t="inlineStr">
        <is>
          <t>AnoMes</t>
        </is>
      </c>
      <c r="D2" s="18" t="inlineStr">
        <is>
          <t>Manaus</t>
        </is>
      </c>
      <c r="E2" s="18" t="inlineStr">
        <is>
          <t>Itaqui</t>
        </is>
      </c>
      <c r="F2" s="18" t="inlineStr">
        <is>
          <t>Suape</t>
        </is>
      </c>
      <c r="G2" s="18" t="inlineStr">
        <is>
          <t>Aratu</t>
        </is>
      </c>
      <c r="H2" s="18" t="inlineStr">
        <is>
          <t>Santos</t>
        </is>
      </c>
      <c r="I2" s="18" t="inlineStr">
        <is>
          <t>Paranagua</t>
        </is>
      </c>
      <c r="J2" s="18" t="inlineStr">
        <is>
          <t>Tramandai</t>
        </is>
      </c>
      <c r="K2" s="18" t="inlineStr">
        <is>
          <t>Guamare</t>
        </is>
      </c>
      <c r="L2" s="18" t="inlineStr">
        <is>
          <t>Duque de Caxias</t>
        </is>
      </c>
      <c r="M2" s="18" t="inlineStr">
        <is>
          <t>Betim</t>
        </is>
      </c>
      <c r="N2" s="18" t="inlineStr">
        <is>
          <t>Cubatao</t>
        </is>
      </c>
      <c r="O2" s="18" t="inlineStr">
        <is>
          <t>Maua</t>
        </is>
      </c>
      <c r="P2" s="18" t="inlineStr">
        <is>
          <t>Paulinia</t>
        </is>
      </c>
      <c r="Q2" s="18" t="inlineStr">
        <is>
          <t>Sao Jose dos Campos</t>
        </is>
      </c>
      <c r="R2" s="18" t="inlineStr">
        <is>
          <t>Araucaria</t>
        </is>
      </c>
      <c r="S2" s="18" t="inlineStr">
        <is>
          <t>Canoas</t>
        </is>
      </c>
      <c r="T2" s="18" t="inlineStr">
        <is>
          <t>Média simples (aprox. nacional)</t>
        </is>
      </c>
    </row>
    <row r="3">
      <c r="A3" s="22" t="n">
        <v>43409</v>
      </c>
      <c r="B3" s="22" t="n">
        <v>43413</v>
      </c>
      <c r="C3">
        <f>TEXT(A3,"yyyy-mm")</f>
        <v/>
      </c>
      <c r="D3" s="20" t="n"/>
      <c r="E3" s="20" t="n">
        <v>2.249686</v>
      </c>
      <c r="F3" s="20" t="n">
        <v>2.2504</v>
      </c>
      <c r="G3" s="20" t="n">
        <v>2.264426</v>
      </c>
      <c r="H3" s="20" t="n">
        <v>2.299988</v>
      </c>
      <c r="I3" s="20" t="n">
        <v>2.28141</v>
      </c>
      <c r="J3" s="20" t="n"/>
      <c r="K3" s="20" t="n"/>
      <c r="L3" s="20" t="n"/>
      <c r="M3" s="20" t="n"/>
      <c r="N3" s="20" t="n"/>
      <c r="O3" s="20" t="n"/>
      <c r="P3" s="20" t="n"/>
      <c r="Q3" s="20" t="n"/>
      <c r="R3" s="20" t="n"/>
      <c r="S3" s="20" t="n"/>
      <c r="T3" s="23">
        <f>IFERROR(AVERAGE(D3:S3),"")</f>
        <v/>
      </c>
    </row>
    <row r="4">
      <c r="A4" s="22" t="n">
        <v>43416</v>
      </c>
      <c r="B4" s="22" t="n">
        <v>43420</v>
      </c>
      <c r="C4">
        <f>TEXT(A4,"yyyy-mm")</f>
        <v/>
      </c>
      <c r="D4" s="20" t="n"/>
      <c r="E4" s="20" t="n">
        <v>2.159192</v>
      </c>
      <c r="F4" s="20" t="n">
        <v>2.160458</v>
      </c>
      <c r="G4" s="20" t="n">
        <v>2.174492</v>
      </c>
      <c r="H4" s="20" t="n">
        <v>2.210074</v>
      </c>
      <c r="I4" s="20" t="n">
        <v>2.191472</v>
      </c>
      <c r="J4" s="20" t="n"/>
      <c r="K4" s="20" t="n"/>
      <c r="L4" s="20" t="n"/>
      <c r="M4" s="20" t="n"/>
      <c r="N4" s="20" t="n"/>
      <c r="O4" s="20" t="n"/>
      <c r="P4" s="20" t="n"/>
      <c r="Q4" s="20" t="n"/>
      <c r="R4" s="20" t="n"/>
      <c r="S4" s="20" t="n"/>
      <c r="T4" s="23">
        <f>IFERROR(AVERAGE(D4:S4),"")</f>
        <v/>
      </c>
    </row>
    <row r="5">
      <c r="A5" s="22" t="n">
        <v>43421</v>
      </c>
      <c r="B5" s="22" t="n">
        <v>43425</v>
      </c>
      <c r="C5">
        <f>TEXT(A5,"yyyy-mm")</f>
        <v/>
      </c>
      <c r="D5" s="20" t="n"/>
      <c r="E5" s="20" t="n">
        <v>2.103863333333333</v>
      </c>
      <c r="F5" s="20" t="n">
        <v>2.102916666666666</v>
      </c>
      <c r="G5" s="20" t="n">
        <v>2.119166666666667</v>
      </c>
      <c r="H5" s="20" t="n">
        <v>2.1584</v>
      </c>
      <c r="I5" s="20" t="n">
        <v>2.140836666666666</v>
      </c>
      <c r="J5" s="20" t="n"/>
      <c r="K5" s="20" t="n"/>
      <c r="L5" s="20" t="n"/>
      <c r="M5" s="20" t="n"/>
      <c r="N5" s="20" t="n"/>
      <c r="O5" s="20" t="n"/>
      <c r="P5" s="20" t="n"/>
      <c r="Q5" s="20" t="n"/>
      <c r="R5" s="20" t="n"/>
      <c r="S5" s="20" t="n"/>
      <c r="T5" s="23">
        <f>IFERROR(AVERAGE(D5:S5),"")</f>
        <v/>
      </c>
    </row>
    <row r="6">
      <c r="A6" s="22" t="n">
        <v>43430</v>
      </c>
      <c r="B6" s="22" t="n">
        <v>43434</v>
      </c>
      <c r="C6">
        <f>TEXT(A6,"yyyy-mm")</f>
        <v/>
      </c>
      <c r="D6" s="20" t="n"/>
      <c r="E6" s="20" t="n">
        <v>1.990058</v>
      </c>
      <c r="F6" s="20" t="n">
        <v>1.988348</v>
      </c>
      <c r="G6" s="20" t="n">
        <v>2.005388</v>
      </c>
      <c r="H6" s="20" t="n">
        <v>2.045942</v>
      </c>
      <c r="I6" s="20" t="n">
        <v>2.028652</v>
      </c>
      <c r="J6" s="20" t="n"/>
      <c r="K6" s="20" t="n"/>
      <c r="L6" s="20" t="n"/>
      <c r="M6" s="20" t="n"/>
      <c r="N6" s="20" t="n"/>
      <c r="O6" s="20" t="n"/>
      <c r="P6" s="20" t="n"/>
      <c r="Q6" s="20" t="n"/>
      <c r="R6" s="20" t="n"/>
      <c r="S6" s="20" t="n"/>
      <c r="T6" s="23">
        <f>IFERROR(AVERAGE(D6:S6),"")</f>
        <v/>
      </c>
    </row>
    <row r="7">
      <c r="A7" s="22" t="n">
        <v>43437</v>
      </c>
      <c r="B7" s="22" t="n">
        <v>43441</v>
      </c>
      <c r="C7">
        <f>TEXT(A7,"yyyy-mm")</f>
        <v/>
      </c>
      <c r="D7" s="20" t="n"/>
      <c r="E7" s="20" t="n">
        <v>1.9939</v>
      </c>
      <c r="F7" s="20" t="n">
        <v>1.9885</v>
      </c>
      <c r="G7" s="20" t="n">
        <v>2.0092</v>
      </c>
      <c r="H7" s="20" t="n">
        <v>2.0559</v>
      </c>
      <c r="I7" s="20" t="n">
        <v>2.0404</v>
      </c>
      <c r="J7" s="20" t="n"/>
      <c r="K7" s="20" t="n"/>
      <c r="L7" s="20" t="n"/>
      <c r="M7" s="20" t="n"/>
      <c r="N7" s="20" t="n"/>
      <c r="O7" s="20" t="n"/>
      <c r="P7" s="20" t="n"/>
      <c r="Q7" s="20" t="n"/>
      <c r="R7" s="20" t="n"/>
      <c r="S7" s="20" t="n"/>
      <c r="T7" s="23">
        <f>IFERROR(AVERAGE(D7:S7),"")</f>
        <v/>
      </c>
    </row>
    <row r="8">
      <c r="A8" s="22" t="n">
        <v>43444</v>
      </c>
      <c r="B8" s="22" t="n">
        <v>43448</v>
      </c>
      <c r="C8">
        <f>TEXT(A8,"yyyy-mm")</f>
        <v/>
      </c>
      <c r="D8" s="20" t="n"/>
      <c r="E8" s="20" t="n">
        <v>1.9817</v>
      </c>
      <c r="F8" s="20" t="n">
        <v>1.9759</v>
      </c>
      <c r="G8" s="20" t="n">
        <v>1.997</v>
      </c>
      <c r="H8" s="20" t="n">
        <v>2.0443</v>
      </c>
      <c r="I8" s="20" t="n">
        <v>2.0289</v>
      </c>
      <c r="J8" s="20" t="n"/>
      <c r="K8" s="20" t="n"/>
      <c r="L8" s="20" t="n"/>
      <c r="M8" s="20" t="n"/>
      <c r="N8" s="20" t="n"/>
      <c r="O8" s="20" t="n"/>
      <c r="P8" s="20" t="n"/>
      <c r="Q8" s="20" t="n"/>
      <c r="R8" s="20" t="n"/>
      <c r="S8" s="20" t="n"/>
      <c r="T8" s="23">
        <f>IFERROR(AVERAGE(D8:S8),"")</f>
        <v/>
      </c>
    </row>
    <row r="9">
      <c r="A9" s="22" t="n">
        <v>43451</v>
      </c>
      <c r="B9" s="22" t="n">
        <v>43455</v>
      </c>
      <c r="C9">
        <f>TEXT(A9,"yyyy-mm")</f>
        <v/>
      </c>
      <c r="D9" s="20" t="n"/>
      <c r="E9" s="20" t="n">
        <v>1.874776</v>
      </c>
      <c r="F9" s="20" t="n">
        <v>1.87347</v>
      </c>
      <c r="G9" s="20" t="n">
        <v>1.890108</v>
      </c>
      <c r="H9" s="20" t="n">
        <v>1.929994</v>
      </c>
      <c r="I9" s="20" t="n">
        <v>1.912502</v>
      </c>
      <c r="J9" s="20" t="n"/>
      <c r="K9" s="20" t="n"/>
      <c r="L9" s="20" t="n"/>
      <c r="M9" s="20" t="n"/>
      <c r="N9" s="20" t="n"/>
      <c r="O9" s="20" t="n"/>
      <c r="P9" s="20" t="n"/>
      <c r="Q9" s="20" t="n"/>
      <c r="R9" s="20" t="n"/>
      <c r="S9" s="20" t="n"/>
      <c r="T9" s="23">
        <f>IFERROR(AVERAGE(D9:S9),"")</f>
        <v/>
      </c>
    </row>
    <row r="10">
      <c r="A10" s="22" t="n">
        <v>43458</v>
      </c>
      <c r="B10" s="22" t="n">
        <v>43462</v>
      </c>
      <c r="C10">
        <f>TEXT(A10,"yyyy-mm")</f>
        <v/>
      </c>
      <c r="D10" s="20" t="n"/>
      <c r="E10" s="20" t="n">
        <v>1.746812543580525</v>
      </c>
      <c r="F10" s="20" t="n">
        <v>1.769660312679063</v>
      </c>
      <c r="G10" s="20" t="n">
        <v>1.77728775210347</v>
      </c>
      <c r="H10" s="20" t="n">
        <v>1.797946296150699</v>
      </c>
      <c r="I10" s="20" t="n">
        <v>1.778231893302169</v>
      </c>
      <c r="J10" s="20" t="n"/>
      <c r="K10" s="20" t="n"/>
      <c r="L10" s="20" t="n"/>
      <c r="M10" s="20" t="n"/>
      <c r="N10" s="20" t="n"/>
      <c r="O10" s="20" t="n"/>
      <c r="P10" s="20" t="n"/>
      <c r="Q10" s="20" t="n"/>
      <c r="R10" s="20" t="n"/>
      <c r="S10" s="20" t="n"/>
      <c r="T10" s="23">
        <f>IFERROR(AVERAGE(D10:S10),"")</f>
        <v/>
      </c>
    </row>
    <row r="11">
      <c r="A11" s="22" t="n">
        <v>43465</v>
      </c>
      <c r="B11" s="22" t="n">
        <v>43469</v>
      </c>
      <c r="C11">
        <f>TEXT(A11,"yyyy-mm")</f>
        <v/>
      </c>
      <c r="D11" s="20" t="n"/>
      <c r="E11" s="20" t="n">
        <v>1.71951</v>
      </c>
      <c r="F11" s="20" t="n">
        <v>1.721636666666667</v>
      </c>
      <c r="G11" s="20" t="n">
        <v>1.73471</v>
      </c>
      <c r="H11" s="20" t="n">
        <v>1.770436666666667</v>
      </c>
      <c r="I11" s="20" t="n">
        <v>1.752156666666667</v>
      </c>
      <c r="J11" s="20" t="n"/>
      <c r="K11" s="20" t="n"/>
      <c r="L11" s="20" t="n"/>
      <c r="M11" s="20" t="n"/>
      <c r="N11" s="20" t="n"/>
      <c r="O11" s="20" t="n"/>
      <c r="P11" s="20" t="n"/>
      <c r="Q11" s="20" t="n"/>
      <c r="R11" s="20" t="n"/>
      <c r="S11" s="20" t="n"/>
      <c r="T11" s="23">
        <f>IFERROR(AVERAGE(D11:S11),"")</f>
        <v/>
      </c>
    </row>
    <row r="12">
      <c r="A12" s="22" t="n">
        <v>43472</v>
      </c>
      <c r="B12" s="22" t="n">
        <v>43476</v>
      </c>
      <c r="C12">
        <f>TEXT(A12,"yyyy-mm")</f>
        <v/>
      </c>
      <c r="D12" s="20" t="n"/>
      <c r="E12" s="20" t="n">
        <v>1.811598</v>
      </c>
      <c r="F12" s="20" t="n">
        <v>1.814008</v>
      </c>
      <c r="G12" s="20" t="n">
        <v>1.82678</v>
      </c>
      <c r="H12" s="20" t="n">
        <v>1.860204</v>
      </c>
      <c r="I12" s="20" t="n">
        <v>1.841488</v>
      </c>
      <c r="J12" s="20" t="n"/>
      <c r="K12" s="20" t="n"/>
      <c r="L12" s="20" t="n"/>
      <c r="M12" s="20" t="n"/>
      <c r="N12" s="20" t="n"/>
      <c r="O12" s="20" t="n"/>
      <c r="P12" s="20" t="n"/>
      <c r="Q12" s="20" t="n"/>
      <c r="R12" s="20" t="n"/>
      <c r="S12" s="20" t="n"/>
      <c r="T12" s="23">
        <f>IFERROR(AVERAGE(D12:S12),"")</f>
        <v/>
      </c>
    </row>
    <row r="13">
      <c r="A13" s="22" t="n">
        <v>43479</v>
      </c>
      <c r="B13" s="22" t="n">
        <v>43483</v>
      </c>
      <c r="C13">
        <f>TEXT(A13,"yyyy-mm")</f>
        <v/>
      </c>
      <c r="D13" s="20" t="n"/>
      <c r="E13" s="20" t="n">
        <v>1.883856</v>
      </c>
      <c r="F13" s="20" t="n">
        <v>1.887634</v>
      </c>
      <c r="G13" s="20" t="n">
        <v>1.89903</v>
      </c>
      <c r="H13" s="20" t="n">
        <v>1.930178</v>
      </c>
      <c r="I13" s="20" t="n">
        <v>1.910842</v>
      </c>
      <c r="J13" s="20" t="n"/>
      <c r="K13" s="20" t="n"/>
      <c r="L13" s="20" t="n"/>
      <c r="M13" s="20" t="n"/>
      <c r="N13" s="20" t="n"/>
      <c r="O13" s="20" t="n"/>
      <c r="P13" s="20" t="n"/>
      <c r="Q13" s="20" t="n"/>
      <c r="R13" s="20" t="n"/>
      <c r="S13" s="20" t="n"/>
      <c r="T13" s="23">
        <f>IFERROR(AVERAGE(D13:S13),"")</f>
        <v/>
      </c>
    </row>
    <row r="14">
      <c r="A14" s="22" t="n">
        <v>43486</v>
      </c>
      <c r="B14" s="22" t="n">
        <v>43490</v>
      </c>
      <c r="C14">
        <f>TEXT(A14,"yyyy-mm")</f>
        <v/>
      </c>
      <c r="D14" s="20" t="n"/>
      <c r="E14" s="20" t="n">
        <v>1.93559</v>
      </c>
      <c r="F14" s="20" t="n">
        <v>1.9397975</v>
      </c>
      <c r="G14" s="20" t="n">
        <v>1.9507675</v>
      </c>
      <c r="H14" s="20" t="n">
        <v>1.98121</v>
      </c>
      <c r="I14" s="20" t="n">
        <v>1.9616725</v>
      </c>
      <c r="J14" s="20" t="n"/>
      <c r="K14" s="20" t="n"/>
      <c r="L14" s="20" t="n"/>
      <c r="M14" s="20" t="n"/>
      <c r="N14" s="20" t="n"/>
      <c r="O14" s="20" t="n"/>
      <c r="P14" s="20" t="n"/>
      <c r="Q14" s="20" t="n"/>
      <c r="R14" s="20" t="n"/>
      <c r="S14" s="20" t="n"/>
      <c r="T14" s="23">
        <f>IFERROR(AVERAGE(D14:S14),"")</f>
        <v/>
      </c>
    </row>
    <row r="15">
      <c r="A15" s="22" t="n">
        <v>43493</v>
      </c>
      <c r="B15" s="22" t="n">
        <v>43497</v>
      </c>
      <c r="C15">
        <f>TEXT(A15,"yyyy-mm")</f>
        <v/>
      </c>
      <c r="D15" s="20" t="n"/>
      <c r="E15" s="20" t="n">
        <v>1.891414</v>
      </c>
      <c r="F15" s="20" t="n">
        <v>1.895774</v>
      </c>
      <c r="G15" s="20" t="n">
        <v>1.906568</v>
      </c>
      <c r="H15" s="20" t="n">
        <v>1.936704</v>
      </c>
      <c r="I15" s="20" t="n">
        <v>1.91718</v>
      </c>
      <c r="J15" s="20" t="n"/>
      <c r="K15" s="20" t="n"/>
      <c r="L15" s="20" t="n"/>
      <c r="M15" s="20" t="n"/>
      <c r="N15" s="20" t="n"/>
      <c r="O15" s="20" t="n"/>
      <c r="P15" s="20" t="n"/>
      <c r="Q15" s="20" t="n"/>
      <c r="R15" s="20" t="n"/>
      <c r="S15" s="20" t="n"/>
      <c r="T15" s="23">
        <f>IFERROR(AVERAGE(D15:S15),"")</f>
        <v/>
      </c>
    </row>
    <row r="16">
      <c r="A16" s="22" t="n">
        <v>43500</v>
      </c>
      <c r="B16" s="22" t="n">
        <v>43504</v>
      </c>
      <c r="C16">
        <f>TEXT(A16,"yyyy-mm")</f>
        <v/>
      </c>
      <c r="D16" s="20" t="n"/>
      <c r="E16" s="20" t="n">
        <v>1.892024</v>
      </c>
      <c r="F16" s="20" t="n">
        <v>1.897364</v>
      </c>
      <c r="G16" s="20" t="n">
        <v>1.907164</v>
      </c>
      <c r="H16" s="20" t="n">
        <v>1.935652</v>
      </c>
      <c r="I16" s="20" t="n">
        <v>1.915712</v>
      </c>
      <c r="J16" s="20" t="n"/>
      <c r="K16" s="20" t="n"/>
      <c r="L16" s="20" t="n"/>
      <c r="M16" s="20" t="n"/>
      <c r="N16" s="20" t="n"/>
      <c r="O16" s="20" t="n"/>
      <c r="P16" s="20" t="n"/>
      <c r="Q16" s="20" t="n"/>
      <c r="R16" s="20" t="n"/>
      <c r="S16" s="20" t="n"/>
      <c r="T16" s="23">
        <f>IFERROR(AVERAGE(D16:S16),"")</f>
        <v/>
      </c>
    </row>
    <row r="17">
      <c r="A17" s="22" t="n">
        <v>43507</v>
      </c>
      <c r="B17" s="22" t="n">
        <v>43511</v>
      </c>
      <c r="C17">
        <f>TEXT(A17,"yyyy-mm")</f>
        <v/>
      </c>
      <c r="D17" s="20" t="n"/>
      <c r="E17" s="20" t="n">
        <v>1.954706</v>
      </c>
      <c r="F17" s="20" t="n">
        <v>1.956934</v>
      </c>
      <c r="G17" s="20" t="n">
        <v>1.969888</v>
      </c>
      <c r="H17" s="20" t="n">
        <v>2.003598</v>
      </c>
      <c r="I17" s="20" t="n">
        <v>1.984972</v>
      </c>
      <c r="J17" s="20" t="n"/>
      <c r="K17" s="20" t="n"/>
      <c r="L17" s="20" t="n"/>
      <c r="M17" s="20" t="n"/>
      <c r="N17" s="20" t="n"/>
      <c r="O17" s="20" t="n"/>
      <c r="P17" s="20" t="n"/>
      <c r="Q17" s="20" t="n"/>
      <c r="R17" s="20" t="n"/>
      <c r="S17" s="20" t="n"/>
      <c r="T17" s="23">
        <f>IFERROR(AVERAGE(D17:S17),"")</f>
        <v/>
      </c>
    </row>
    <row r="18">
      <c r="A18" s="22" t="n">
        <v>43514</v>
      </c>
      <c r="B18" s="22" t="n">
        <v>43518</v>
      </c>
      <c r="C18">
        <f>TEXT(A18,"yyyy-mm")</f>
        <v/>
      </c>
      <c r="D18" s="20" t="n"/>
      <c r="E18" s="20" t="n">
        <v>2.047955</v>
      </c>
      <c r="F18" s="20" t="n">
        <v>2.0499525</v>
      </c>
      <c r="G18" s="20" t="n">
        <v>2.063185</v>
      </c>
      <c r="H18" s="20" t="n">
        <v>2.0973975</v>
      </c>
      <c r="I18" s="20" t="n">
        <v>2.07871</v>
      </c>
      <c r="J18" s="20" t="n"/>
      <c r="K18" s="20" t="n"/>
      <c r="L18" s="20" t="n"/>
      <c r="M18" s="20" t="n"/>
      <c r="N18" s="20" t="n"/>
      <c r="O18" s="20" t="n"/>
      <c r="P18" s="20" t="n"/>
      <c r="Q18" s="20" t="n"/>
      <c r="R18" s="20" t="n"/>
      <c r="S18" s="20" t="n"/>
      <c r="T18" s="23">
        <f>IFERROR(AVERAGE(D18:S18),"")</f>
        <v/>
      </c>
    </row>
    <row r="19">
      <c r="A19" s="22" t="n">
        <v>43521</v>
      </c>
      <c r="B19" s="22" t="n">
        <v>43525</v>
      </c>
      <c r="C19">
        <f>TEXT(A19,"yyyy-mm")</f>
        <v/>
      </c>
      <c r="D19" s="20" t="n"/>
      <c r="E19" s="20" t="n">
        <v>2.050548</v>
      </c>
      <c r="F19" s="20" t="n">
        <v>2.053478</v>
      </c>
      <c r="G19" s="20" t="n">
        <v>2.065766</v>
      </c>
      <c r="H19" s="20" t="n">
        <v>2.098406</v>
      </c>
      <c r="I19" s="20" t="n">
        <v>2.079326</v>
      </c>
      <c r="J19" s="20" t="n"/>
      <c r="K19" s="20" t="n"/>
      <c r="L19" s="20" t="n"/>
      <c r="M19" s="20" t="n"/>
      <c r="N19" s="20" t="n"/>
      <c r="O19" s="20" t="n"/>
      <c r="P19" s="20" t="n"/>
      <c r="Q19" s="20" t="n"/>
      <c r="R19" s="20" t="n"/>
      <c r="S19" s="20" t="n"/>
      <c r="T19" s="23">
        <f>IFERROR(AVERAGE(D19:S19),"")</f>
        <v/>
      </c>
    </row>
    <row r="20">
      <c r="A20" s="22" t="n">
        <v>43528</v>
      </c>
      <c r="B20" s="22" t="n">
        <v>43532</v>
      </c>
      <c r="C20">
        <f>TEXT(A20,"yyyy-mm")</f>
        <v/>
      </c>
      <c r="D20" s="20" t="n"/>
      <c r="E20" s="20" t="n">
        <v>2.081228</v>
      </c>
      <c r="F20" s="20" t="n">
        <v>2.085672</v>
      </c>
      <c r="G20" s="20" t="n">
        <v>2.096394</v>
      </c>
      <c r="H20" s="20" t="n">
        <v>2.126416</v>
      </c>
      <c r="I20" s="20" t="n">
        <v>2.106802</v>
      </c>
      <c r="J20" s="20" t="n"/>
      <c r="K20" s="20" t="n"/>
      <c r="L20" s="20" t="n"/>
      <c r="M20" s="20" t="n"/>
      <c r="N20" s="20" t="n"/>
      <c r="O20" s="20" t="n"/>
      <c r="P20" s="20" t="n"/>
      <c r="Q20" s="20" t="n"/>
      <c r="R20" s="20" t="n"/>
      <c r="S20" s="20" t="n"/>
      <c r="T20" s="23">
        <f>IFERROR(AVERAGE(D20:S20),"")</f>
        <v/>
      </c>
    </row>
    <row r="21">
      <c r="A21" s="22" t="n">
        <v>43535</v>
      </c>
      <c r="B21" s="22" t="n">
        <v>43539</v>
      </c>
      <c r="C21">
        <f>TEXT(A21,"yyyy-mm")</f>
        <v/>
      </c>
      <c r="D21" s="20" t="n"/>
      <c r="E21" s="20" t="n">
        <v>2.057962</v>
      </c>
      <c r="F21" s="20" t="n">
        <v>2.063016</v>
      </c>
      <c r="G21" s="20" t="n">
        <v>2.073091999999999</v>
      </c>
      <c r="H21" s="20" t="n">
        <v>2.10202</v>
      </c>
      <c r="I21" s="20" t="n">
        <v>2.082248</v>
      </c>
      <c r="J21" s="20" t="n"/>
      <c r="K21" s="20" t="n"/>
      <c r="L21" s="20" t="n"/>
      <c r="M21" s="20" t="n"/>
      <c r="N21" s="20" t="n"/>
      <c r="O21" s="20" t="n"/>
      <c r="P21" s="20" t="n"/>
      <c r="Q21" s="20" t="n"/>
      <c r="R21" s="20" t="n"/>
      <c r="S21" s="20" t="n"/>
      <c r="T21" s="23">
        <f>IFERROR(AVERAGE(D21:S21),"")</f>
        <v/>
      </c>
    </row>
    <row r="22">
      <c r="A22" s="22" t="n">
        <v>43542</v>
      </c>
      <c r="B22" s="22" t="n">
        <v>43546</v>
      </c>
      <c r="C22">
        <f>TEXT(A22,"yyyy-mm")</f>
        <v/>
      </c>
      <c r="D22" s="20" t="n"/>
      <c r="E22" s="20" t="n">
        <v>2.070446</v>
      </c>
      <c r="F22" s="20" t="n">
        <v>2.07348</v>
      </c>
      <c r="G22" s="20" t="n">
        <v>2.08565</v>
      </c>
      <c r="H22" s="20" t="n">
        <v>2.11809</v>
      </c>
      <c r="I22" s="20" t="n">
        <v>2.099008</v>
      </c>
      <c r="J22" s="20" t="n"/>
      <c r="K22" s="20" t="n"/>
      <c r="L22" s="20" t="n"/>
      <c r="M22" s="20" t="n"/>
      <c r="N22" s="20" t="n"/>
      <c r="O22" s="20" t="n"/>
      <c r="P22" s="20" t="n"/>
      <c r="Q22" s="20" t="n"/>
      <c r="R22" s="20" t="n"/>
      <c r="S22" s="20" t="n"/>
      <c r="T22" s="23">
        <f>IFERROR(AVERAGE(D22:S22),"")</f>
        <v/>
      </c>
    </row>
    <row r="23">
      <c r="A23" s="22" t="n">
        <v>43549</v>
      </c>
      <c r="B23" s="22" t="n">
        <v>43553</v>
      </c>
      <c r="C23">
        <f>TEXT(A23,"yyyy-mm")</f>
        <v/>
      </c>
      <c r="D23" s="20" t="n"/>
      <c r="E23" s="20" t="n">
        <v>2.122366</v>
      </c>
      <c r="F23" s="20" t="n">
        <v>2.124728</v>
      </c>
      <c r="G23" s="20" t="n">
        <v>2.137594</v>
      </c>
      <c r="H23" s="20" t="n">
        <v>2.171202</v>
      </c>
      <c r="I23" s="20" t="n">
        <v>2.152344</v>
      </c>
      <c r="J23" s="20" t="n"/>
      <c r="K23" s="20" t="n"/>
      <c r="L23" s="20" t="n"/>
      <c r="M23" s="20" t="n"/>
      <c r="N23" s="20" t="n"/>
      <c r="O23" s="20" t="n"/>
      <c r="P23" s="20" t="n"/>
      <c r="Q23" s="20" t="n"/>
      <c r="R23" s="20" t="n"/>
      <c r="S23" s="20" t="n"/>
      <c r="T23" s="23">
        <f>IFERROR(AVERAGE(D23:S23),"")</f>
        <v/>
      </c>
    </row>
    <row r="24">
      <c r="A24" s="22" t="n">
        <v>43556</v>
      </c>
      <c r="B24" s="22" t="n">
        <v>43560</v>
      </c>
      <c r="C24">
        <f>TEXT(A24,"yyyy-mm")</f>
        <v/>
      </c>
      <c r="D24" s="20" t="n"/>
      <c r="E24" s="20" t="n">
        <v>2.117398000000001</v>
      </c>
      <c r="F24" s="20" t="n">
        <v>2.119816</v>
      </c>
      <c r="G24" s="20" t="n">
        <v>2.132618</v>
      </c>
      <c r="H24" s="20" t="n">
        <v>2.1661</v>
      </c>
      <c r="I24" s="20" t="n">
        <v>2.14726</v>
      </c>
      <c r="J24" s="20" t="n"/>
      <c r="K24" s="20" t="n"/>
      <c r="L24" s="20" t="n"/>
      <c r="M24" s="20" t="n"/>
      <c r="N24" s="20" t="n"/>
      <c r="O24" s="20" t="n"/>
      <c r="P24" s="20" t="n"/>
      <c r="Q24" s="20" t="n"/>
      <c r="R24" s="20" t="n"/>
      <c r="S24" s="20" t="n"/>
      <c r="T24" s="23">
        <f>IFERROR(AVERAGE(D24:S24),"")</f>
        <v/>
      </c>
    </row>
    <row r="25">
      <c r="A25" s="22" t="n">
        <v>43563</v>
      </c>
      <c r="B25" s="22" t="n">
        <v>43567</v>
      </c>
      <c r="C25">
        <f>TEXT(A25,"yyyy-mm")</f>
        <v/>
      </c>
      <c r="D25" s="20" t="n"/>
      <c r="E25" s="20" t="n">
        <v>2.159338</v>
      </c>
      <c r="F25" s="20" t="n">
        <v>2.162688</v>
      </c>
      <c r="G25" s="20" t="n">
        <v>2.174548</v>
      </c>
      <c r="H25" s="20" t="n">
        <v>2.206476</v>
      </c>
      <c r="I25" s="20" t="n">
        <v>2.187232</v>
      </c>
      <c r="J25" s="20" t="n"/>
      <c r="K25" s="20" t="n"/>
      <c r="L25" s="20" t="n"/>
      <c r="M25" s="20" t="n"/>
      <c r="N25" s="20" t="n"/>
      <c r="O25" s="20" t="n"/>
      <c r="P25" s="20" t="n"/>
      <c r="Q25" s="20" t="n"/>
      <c r="R25" s="20" t="n"/>
      <c r="S25" s="20" t="n"/>
      <c r="T25" s="23">
        <f>IFERROR(AVERAGE(D25:S25),"")</f>
        <v/>
      </c>
    </row>
    <row r="26">
      <c r="A26" s="22" t="n">
        <v>43569</v>
      </c>
      <c r="B26" s="22" t="n">
        <v>43573</v>
      </c>
      <c r="C26">
        <f>TEXT(A26,"yyyy-mm")</f>
        <v/>
      </c>
      <c r="D26" s="20" t="n"/>
      <c r="E26" s="20" t="n">
        <v>2.1854425</v>
      </c>
      <c r="F26" s="20" t="n">
        <v>2.1897575</v>
      </c>
      <c r="G26" s="20" t="n">
        <v>2.200665</v>
      </c>
      <c r="H26" s="20" t="n">
        <v>2.23104</v>
      </c>
      <c r="I26" s="20" t="n">
        <v>2.2112925</v>
      </c>
      <c r="J26" s="20" t="n"/>
      <c r="K26" s="20" t="n"/>
      <c r="L26" s="20" t="n"/>
      <c r="M26" s="20" t="n"/>
      <c r="N26" s="20" t="n"/>
      <c r="O26" s="20" t="n"/>
      <c r="P26" s="20" t="n"/>
      <c r="Q26" s="20" t="n"/>
      <c r="R26" s="20" t="n"/>
      <c r="S26" s="20" t="n"/>
      <c r="T26" s="23">
        <f>IFERROR(AVERAGE(D26:S26),"")</f>
        <v/>
      </c>
    </row>
    <row r="27">
      <c r="A27" s="22" t="n">
        <v>43577</v>
      </c>
      <c r="B27" s="22" t="n">
        <v>43581</v>
      </c>
      <c r="C27">
        <f>TEXT(A27,"yyyy-mm")</f>
        <v/>
      </c>
      <c r="D27" s="20" t="n"/>
      <c r="E27" s="20" t="n">
        <v>2.2425075</v>
      </c>
      <c r="F27" s="20" t="n">
        <v>2.246855</v>
      </c>
      <c r="G27" s="20" t="n">
        <v>2.2577225</v>
      </c>
      <c r="H27" s="20" t="n">
        <v>2.2880075</v>
      </c>
      <c r="I27" s="20" t="n">
        <v>2.2682825</v>
      </c>
      <c r="J27" s="20" t="n"/>
      <c r="K27" s="20" t="n"/>
      <c r="L27" s="20" t="n"/>
      <c r="M27" s="20" t="n"/>
      <c r="N27" s="20" t="n"/>
      <c r="O27" s="20" t="n"/>
      <c r="P27" s="20" t="n"/>
      <c r="Q27" s="20" t="n"/>
      <c r="R27" s="20" t="n"/>
      <c r="S27" s="20" t="n"/>
      <c r="T27" s="23">
        <f>IFERROR(AVERAGE(D27:S27),"")</f>
        <v/>
      </c>
    </row>
    <row r="28">
      <c r="A28" s="22" t="n">
        <v>43584</v>
      </c>
      <c r="B28" s="22" t="n">
        <v>43588</v>
      </c>
      <c r="C28">
        <f>TEXT(A28,"yyyy-mm")</f>
        <v/>
      </c>
      <c r="D28" s="20" t="n"/>
      <c r="E28" s="20" t="n">
        <v>2.2073875</v>
      </c>
      <c r="F28" s="20" t="n">
        <v>2.21197</v>
      </c>
      <c r="G28" s="20" t="n">
        <v>2.22257</v>
      </c>
      <c r="H28" s="20" t="n">
        <v>2.252405</v>
      </c>
      <c r="I28" s="20" t="n">
        <v>2.2326775</v>
      </c>
      <c r="J28" s="20" t="n"/>
      <c r="K28" s="20" t="n"/>
      <c r="L28" s="20" t="n"/>
      <c r="M28" s="20" t="n"/>
      <c r="N28" s="20" t="n"/>
      <c r="O28" s="20" t="n"/>
      <c r="P28" s="20" t="n"/>
      <c r="Q28" s="20" t="n"/>
      <c r="R28" s="20" t="n"/>
      <c r="S28" s="20" t="n"/>
      <c r="T28" s="23">
        <f>IFERROR(AVERAGE(D28:S28),"")</f>
        <v/>
      </c>
    </row>
    <row r="29">
      <c r="A29" s="22" t="n">
        <v>43591</v>
      </c>
      <c r="B29" s="22" t="n">
        <v>43595</v>
      </c>
      <c r="C29">
        <f>TEXT(A29,"yyyy-mm")</f>
        <v/>
      </c>
      <c r="D29" s="20" t="n"/>
      <c r="E29" s="20" t="n">
        <v>2.222525000000001</v>
      </c>
      <c r="F29" s="20" t="n">
        <v>2.225805</v>
      </c>
      <c r="G29" s="20" t="n">
        <v>2.2377125</v>
      </c>
      <c r="H29" s="20" t="n">
        <v>2.2697075</v>
      </c>
      <c r="I29" s="20" t="n">
        <v>2.25057</v>
      </c>
      <c r="J29" s="20" t="n"/>
      <c r="K29" s="20" t="n"/>
      <c r="L29" s="20" t="n"/>
      <c r="M29" s="20" t="n"/>
      <c r="N29" s="20" t="n"/>
      <c r="O29" s="20" t="n"/>
      <c r="P29" s="20" t="n"/>
      <c r="Q29" s="20" t="n"/>
      <c r="R29" s="20" t="n"/>
      <c r="S29" s="20" t="n"/>
      <c r="T29" s="23">
        <f>IFERROR(AVERAGE(D29:S29),"")</f>
        <v/>
      </c>
    </row>
    <row r="30">
      <c r="A30" s="22" t="n">
        <v>43598</v>
      </c>
      <c r="B30" s="22" t="n">
        <v>43602</v>
      </c>
      <c r="C30">
        <f>TEXT(A30,"yyyy-mm")</f>
        <v/>
      </c>
      <c r="D30" s="20" t="n"/>
      <c r="E30" s="20" t="n">
        <v>2.2434775</v>
      </c>
      <c r="F30" s="20" t="n">
        <v>2.246445</v>
      </c>
      <c r="G30" s="20" t="n">
        <v>2.2587075</v>
      </c>
      <c r="H30" s="20" t="n">
        <v>2.291304999999999</v>
      </c>
      <c r="I30" s="20" t="n">
        <v>2.2721725</v>
      </c>
      <c r="J30" s="20" t="n"/>
      <c r="K30" s="20" t="n"/>
      <c r="L30" s="20" t="n"/>
      <c r="M30" s="20" t="n"/>
      <c r="N30" s="20" t="n"/>
      <c r="O30" s="20" t="n"/>
      <c r="P30" s="20" t="n"/>
      <c r="Q30" s="20" t="n"/>
      <c r="R30" s="20" t="n"/>
      <c r="S30" s="20" t="n"/>
      <c r="T30" s="23">
        <f>IFERROR(AVERAGE(D30:S30),"")</f>
        <v/>
      </c>
    </row>
    <row r="31">
      <c r="A31" s="22" t="n">
        <v>43605</v>
      </c>
      <c r="B31" s="22" t="n">
        <v>43609</v>
      </c>
      <c r="C31">
        <f>TEXT(A31,"yyyy-mm")</f>
        <v/>
      </c>
      <c r="D31" s="20" t="n"/>
      <c r="E31" s="20" t="n">
        <v>2.29217</v>
      </c>
      <c r="F31" s="20" t="n">
        <v>2.2952175</v>
      </c>
      <c r="G31" s="20" t="n">
        <v>2.30741</v>
      </c>
      <c r="H31" s="20" t="n">
        <v>2.339905</v>
      </c>
      <c r="I31" s="20" t="n">
        <v>2.3207</v>
      </c>
      <c r="J31" s="20" t="n"/>
      <c r="K31" s="20" t="n"/>
      <c r="L31" s="20" t="n"/>
      <c r="M31" s="20" t="n"/>
      <c r="N31" s="20" t="n"/>
      <c r="O31" s="20" t="n"/>
      <c r="P31" s="20" t="n"/>
      <c r="Q31" s="20" t="n"/>
      <c r="R31" s="20" t="n"/>
      <c r="S31" s="20" t="n"/>
      <c r="T31" s="23">
        <f>IFERROR(AVERAGE(D31:S31),"")</f>
        <v/>
      </c>
    </row>
    <row r="32">
      <c r="A32" s="22" t="n">
        <v>43612</v>
      </c>
      <c r="B32" s="22" t="n">
        <v>43616</v>
      </c>
      <c r="C32">
        <f>TEXT(A32,"yyyy-mm")</f>
        <v/>
      </c>
      <c r="D32" s="20" t="n"/>
      <c r="E32" s="20" t="n">
        <v>2.1254775</v>
      </c>
      <c r="F32" s="20" t="n">
        <v>2.1291225</v>
      </c>
      <c r="G32" s="20" t="n">
        <v>2.14069</v>
      </c>
      <c r="H32" s="20" t="n">
        <v>2.1721425</v>
      </c>
      <c r="I32" s="20" t="n">
        <v>2.152745</v>
      </c>
      <c r="J32" s="20" t="n"/>
      <c r="K32" s="20" t="n"/>
      <c r="L32" s="20" t="n"/>
      <c r="M32" s="20" t="n"/>
      <c r="N32" s="20" t="n"/>
      <c r="O32" s="20" t="n"/>
      <c r="P32" s="20" t="n"/>
      <c r="Q32" s="20" t="n"/>
      <c r="R32" s="20" t="n"/>
      <c r="S32" s="20" t="n"/>
      <c r="T32" s="23">
        <f>IFERROR(AVERAGE(D32:S32),"")</f>
        <v/>
      </c>
    </row>
    <row r="33">
      <c r="A33" s="22" t="n">
        <v>43619</v>
      </c>
      <c r="B33" s="22" t="n">
        <v>43623</v>
      </c>
      <c r="C33">
        <f>TEXT(A33,"yyyy-mm")</f>
        <v/>
      </c>
      <c r="D33" s="20" t="n"/>
      <c r="E33" s="20" t="n">
        <v>1.919408</v>
      </c>
      <c r="F33" s="20" t="n">
        <v>1.924288</v>
      </c>
      <c r="G33" s="20" t="n">
        <v>1.934562</v>
      </c>
      <c r="H33" s="20" t="n">
        <v>1.963836</v>
      </c>
      <c r="I33" s="20" t="n">
        <v>1.944068</v>
      </c>
      <c r="J33" s="20" t="n"/>
      <c r="K33" s="20" t="n"/>
      <c r="L33" s="20" t="n"/>
      <c r="M33" s="20" t="n"/>
      <c r="N33" s="20" t="n"/>
      <c r="O33" s="20" t="n"/>
      <c r="P33" s="20" t="n"/>
      <c r="Q33" s="20" t="n"/>
      <c r="R33" s="20" t="n"/>
      <c r="S33" s="20" t="n"/>
      <c r="T33" s="23">
        <f>IFERROR(AVERAGE(D33:S33),"")</f>
        <v/>
      </c>
    </row>
    <row r="34">
      <c r="A34" s="22" t="n">
        <v>43626</v>
      </c>
      <c r="B34" s="22" t="n">
        <v>43630</v>
      </c>
      <c r="C34">
        <f>TEXT(A34,"yyyy-mm")</f>
        <v/>
      </c>
      <c r="D34" s="20" t="n"/>
      <c r="E34" s="20" t="n">
        <v>1.89602</v>
      </c>
      <c r="F34" s="20" t="n">
        <v>1.901162</v>
      </c>
      <c r="G34" s="20" t="n">
        <v>1.91116</v>
      </c>
      <c r="H34" s="20" t="n">
        <v>1.939974</v>
      </c>
      <c r="I34" s="20" t="n">
        <v>1.92013</v>
      </c>
      <c r="J34" s="20" t="n"/>
      <c r="K34" s="20" t="n"/>
      <c r="L34" s="20" t="n"/>
      <c r="M34" s="20" t="n"/>
      <c r="N34" s="20" t="n"/>
      <c r="O34" s="20" t="n"/>
      <c r="P34" s="20" t="n"/>
      <c r="Q34" s="20" t="n"/>
      <c r="R34" s="20" t="n"/>
      <c r="S34" s="20" t="n"/>
      <c r="T34" s="23">
        <f>IFERROR(AVERAGE(D34:S34),"")</f>
        <v/>
      </c>
    </row>
    <row r="35">
      <c r="A35" s="22" t="n">
        <v>43633</v>
      </c>
      <c r="B35" s="22" t="n">
        <v>43637</v>
      </c>
      <c r="C35">
        <f>TEXT(A35,"yyyy-mm")</f>
        <v/>
      </c>
      <c r="D35" s="20" t="n"/>
      <c r="E35" s="20" t="n">
        <v>1.9332</v>
      </c>
      <c r="F35" s="20" t="n">
        <v>1.9368</v>
      </c>
      <c r="G35" s="20" t="n">
        <v>1.9484</v>
      </c>
      <c r="H35" s="20" t="n">
        <v>1.9799</v>
      </c>
      <c r="I35" s="20" t="n">
        <v>1.9606</v>
      </c>
      <c r="J35" s="20" t="n"/>
      <c r="K35" s="20" t="n"/>
      <c r="L35" s="20" t="n"/>
      <c r="M35" s="20" t="n"/>
      <c r="N35" s="20" t="n"/>
      <c r="O35" s="20" t="n"/>
      <c r="P35" s="20" t="n"/>
      <c r="Q35" s="20" t="n"/>
      <c r="R35" s="20" t="n"/>
      <c r="S35" s="20" t="n"/>
      <c r="T35" s="23">
        <f>IFERROR(AVERAGE(D35:S35),"")</f>
        <v/>
      </c>
    </row>
    <row r="36">
      <c r="A36" s="22" t="n">
        <v>43640</v>
      </c>
      <c r="B36" s="22" t="n">
        <v>43644</v>
      </c>
      <c r="C36">
        <f>TEXT(A36,"yyyy-mm")</f>
        <v/>
      </c>
      <c r="D36" s="20" t="n"/>
      <c r="E36" s="20" t="n">
        <v>2.0263</v>
      </c>
      <c r="F36" s="20" t="n">
        <v>2.0288</v>
      </c>
      <c r="G36" s="20" t="n">
        <v>2.0415</v>
      </c>
      <c r="H36" s="20" t="n">
        <v>2.0749</v>
      </c>
      <c r="I36" s="20" t="n">
        <v>2.0559</v>
      </c>
      <c r="J36" s="20" t="n"/>
      <c r="K36" s="20" t="n"/>
      <c r="L36" s="20" t="n"/>
      <c r="M36" s="20" t="n"/>
      <c r="N36" s="20" t="n"/>
      <c r="O36" s="20" t="n"/>
      <c r="P36" s="20" t="n"/>
      <c r="Q36" s="20" t="n"/>
      <c r="R36" s="20" t="n"/>
      <c r="S36" s="20" t="n"/>
      <c r="T36" s="23">
        <f>IFERROR(AVERAGE(D36:S36),"")</f>
        <v/>
      </c>
    </row>
    <row r="37">
      <c r="A37" s="22" t="n">
        <v>43647</v>
      </c>
      <c r="B37" s="22" t="n">
        <v>43651</v>
      </c>
      <c r="C37">
        <f>TEXT(A37,"yyyy-mm")</f>
        <v/>
      </c>
      <c r="D37" s="20" t="n"/>
      <c r="E37" s="20" t="n">
        <v>2.0203</v>
      </c>
      <c r="F37" s="20" t="n">
        <v>2.0227</v>
      </c>
      <c r="G37" s="20" t="n">
        <v>2.0355</v>
      </c>
      <c r="H37" s="20" t="n">
        <v>2.069</v>
      </c>
      <c r="I37" s="20" t="n">
        <v>2.0501</v>
      </c>
      <c r="J37" s="20" t="n"/>
      <c r="K37" s="20" t="n"/>
      <c r="L37" s="20" t="n"/>
      <c r="M37" s="20" t="n"/>
      <c r="N37" s="20" t="n"/>
      <c r="O37" s="20" t="n"/>
      <c r="P37" s="20" t="n"/>
      <c r="Q37" s="20" t="n"/>
      <c r="R37" s="20" t="n"/>
      <c r="S37" s="20" t="n"/>
      <c r="T37" s="23">
        <f>IFERROR(AVERAGE(D37:S37),"")</f>
        <v/>
      </c>
    </row>
    <row r="38">
      <c r="A38" s="22" t="n">
        <v>43654</v>
      </c>
      <c r="B38" s="22" t="n">
        <v>43658</v>
      </c>
      <c r="C38">
        <f>TEXT(A38,"yyyy-mm")</f>
        <v/>
      </c>
      <c r="D38" s="20" t="n"/>
      <c r="E38" s="20" t="n">
        <v>1.9791</v>
      </c>
      <c r="F38" s="20" t="n">
        <v>1.9836</v>
      </c>
      <c r="G38" s="20" t="n">
        <v>1.9943</v>
      </c>
      <c r="H38" s="20" t="n">
        <v>2.0242</v>
      </c>
      <c r="I38" s="20" t="n">
        <v>2.0046</v>
      </c>
      <c r="J38" s="20" t="n"/>
      <c r="K38" s="20" t="n"/>
      <c r="L38" s="20" t="n"/>
      <c r="M38" s="20" t="n"/>
      <c r="N38" s="20" t="n"/>
      <c r="O38" s="20" t="n"/>
      <c r="P38" s="20" t="n"/>
      <c r="Q38" s="20" t="n"/>
      <c r="R38" s="20" t="n"/>
      <c r="S38" s="20" t="n"/>
      <c r="T38" s="23">
        <f>IFERROR(AVERAGE(D38:S38),"")</f>
        <v/>
      </c>
    </row>
    <row r="39">
      <c r="A39" s="22" t="n">
        <v>43661</v>
      </c>
      <c r="B39" s="22" t="n">
        <v>43665</v>
      </c>
      <c r="C39">
        <f>TEXT(A39,"yyyy-mm")</f>
        <v/>
      </c>
      <c r="D39" s="20" t="n"/>
      <c r="E39" s="20" t="n">
        <v>1.9488</v>
      </c>
      <c r="F39" s="20" t="n">
        <v>1.953</v>
      </c>
      <c r="G39" s="20" t="n">
        <v>1.9639</v>
      </c>
      <c r="H39" s="20" t="n">
        <v>1.9922</v>
      </c>
      <c r="I39" s="20" t="n">
        <v>1.9717</v>
      </c>
      <c r="J39" s="20" t="n"/>
      <c r="K39" s="20" t="n"/>
      <c r="L39" s="20" t="n"/>
      <c r="M39" s="20" t="n"/>
      <c r="N39" s="20" t="n"/>
      <c r="O39" s="20" t="n"/>
      <c r="P39" s="20" t="n"/>
      <c r="Q39" s="20" t="n"/>
      <c r="R39" s="20" t="n"/>
      <c r="S39" s="20" t="n"/>
      <c r="T39" s="23">
        <f>IFERROR(AVERAGE(D39:S39),"")</f>
        <v/>
      </c>
    </row>
    <row r="40">
      <c r="A40" s="22" t="n">
        <v>43668</v>
      </c>
      <c r="B40" s="22" t="n">
        <v>43672</v>
      </c>
      <c r="C40">
        <f>TEXT(A40,"yyyy-mm")</f>
        <v/>
      </c>
      <c r="D40" s="20" t="n"/>
      <c r="E40" s="20" t="n">
        <v>1.9618</v>
      </c>
      <c r="F40" s="20" t="n">
        <v>1.9637</v>
      </c>
      <c r="G40" s="20" t="n">
        <v>1.977</v>
      </c>
      <c r="H40" s="20" t="n">
        <v>2.007</v>
      </c>
      <c r="I40" s="20" t="n">
        <v>1.9864</v>
      </c>
      <c r="J40" s="20" t="n"/>
      <c r="K40" s="20" t="n"/>
      <c r="L40" s="20" t="n"/>
      <c r="M40" s="20" t="n"/>
      <c r="N40" s="20" t="n"/>
      <c r="O40" s="20" t="n"/>
      <c r="P40" s="20" t="n"/>
      <c r="Q40" s="20" t="n"/>
      <c r="R40" s="20" t="n"/>
      <c r="S40" s="20" t="n"/>
      <c r="T40" s="23">
        <f>IFERROR(AVERAGE(D40:S40),"")</f>
        <v/>
      </c>
    </row>
    <row r="41">
      <c r="A41" s="22" t="n">
        <v>43675</v>
      </c>
      <c r="B41" s="22" t="n">
        <v>43679</v>
      </c>
      <c r="C41">
        <f>TEXT(A41,"yyyy-mm")</f>
        <v/>
      </c>
      <c r="D41" s="20" t="n"/>
      <c r="E41" s="20" t="n">
        <v>2.0015</v>
      </c>
      <c r="F41" s="20" t="n">
        <v>2.0035</v>
      </c>
      <c r="G41" s="20" t="n">
        <v>2.0167</v>
      </c>
      <c r="H41" s="20" t="n">
        <v>2.0467</v>
      </c>
      <c r="I41" s="20" t="n">
        <v>2.0261</v>
      </c>
      <c r="J41" s="20" t="n"/>
      <c r="K41" s="20" t="n"/>
      <c r="L41" s="20" t="n"/>
      <c r="M41" s="20" t="n"/>
      <c r="N41" s="20" t="n"/>
      <c r="O41" s="20" t="n"/>
      <c r="P41" s="20" t="n"/>
      <c r="Q41" s="20" t="n"/>
      <c r="R41" s="20" t="n"/>
      <c r="S41" s="20" t="n"/>
      <c r="T41" s="23">
        <f>IFERROR(AVERAGE(D41:S41),"")</f>
        <v/>
      </c>
    </row>
    <row r="42">
      <c r="A42" s="22" t="n">
        <v>43682</v>
      </c>
      <c r="B42" s="22" t="n">
        <v>43686</v>
      </c>
      <c r="C42">
        <f>TEXT(A42,"yyyy-mm")</f>
        <v/>
      </c>
      <c r="D42" s="20" t="n"/>
      <c r="E42" s="20" t="n">
        <v>1.9658</v>
      </c>
      <c r="F42" s="20" t="n">
        <v>1.9668</v>
      </c>
      <c r="G42" s="20" t="n">
        <v>1.9811</v>
      </c>
      <c r="H42" s="20" t="n">
        <v>2.0125</v>
      </c>
      <c r="I42" s="20" t="n">
        <v>1.992</v>
      </c>
      <c r="J42" s="20" t="n"/>
      <c r="K42" s="20" t="n"/>
      <c r="L42" s="20" t="n"/>
      <c r="M42" s="20" t="n"/>
      <c r="N42" s="20" t="n"/>
      <c r="O42" s="20" t="n"/>
      <c r="P42" s="20" t="n"/>
      <c r="Q42" s="20" t="n"/>
      <c r="R42" s="20" t="n"/>
      <c r="S42" s="20" t="n"/>
      <c r="T42" s="23">
        <f>IFERROR(AVERAGE(D42:S42),"")</f>
        <v/>
      </c>
    </row>
    <row r="43">
      <c r="A43" s="22" t="n">
        <v>43689</v>
      </c>
      <c r="B43" s="22" t="n">
        <v>43693</v>
      </c>
      <c r="C43">
        <f>TEXT(A43,"yyyy-mm")</f>
        <v/>
      </c>
      <c r="D43" s="20" t="n"/>
      <c r="E43" s="20" t="n">
        <v>2.0133</v>
      </c>
      <c r="F43" s="20" t="n">
        <v>2.0146</v>
      </c>
      <c r="G43" s="20" t="n">
        <v>2.0285</v>
      </c>
      <c r="H43" s="20" t="n">
        <v>2.0596</v>
      </c>
      <c r="I43" s="20" t="n">
        <v>2.039</v>
      </c>
      <c r="J43" s="20" t="n"/>
      <c r="K43" s="20" t="n"/>
      <c r="L43" s="20" t="n"/>
      <c r="M43" s="20" t="n"/>
      <c r="N43" s="20" t="n"/>
      <c r="O43" s="20" t="n"/>
      <c r="P43" s="20" t="n"/>
      <c r="Q43" s="20" t="n"/>
      <c r="R43" s="20" t="n"/>
      <c r="S43" s="20" t="n"/>
      <c r="T43" s="23">
        <f>IFERROR(AVERAGE(D43:S43),"")</f>
        <v/>
      </c>
    </row>
    <row r="44">
      <c r="A44" s="22" t="n">
        <v>43696</v>
      </c>
      <c r="B44" s="22" t="n">
        <v>43700</v>
      </c>
      <c r="C44">
        <f>TEXT(A44,"yyyy-mm")</f>
        <v/>
      </c>
      <c r="D44" s="20" t="n"/>
      <c r="E44" s="20" t="n">
        <v>2.0493</v>
      </c>
      <c r="F44" s="20" t="n">
        <v>2.0506</v>
      </c>
      <c r="G44" s="20" t="n">
        <v>2.0645</v>
      </c>
      <c r="H44" s="20" t="n">
        <v>2.0954</v>
      </c>
      <c r="I44" s="20" t="n">
        <v>2.0748</v>
      </c>
      <c r="J44" s="20" t="n"/>
      <c r="K44" s="20" t="n"/>
      <c r="L44" s="20" t="n"/>
      <c r="M44" s="20" t="n"/>
      <c r="N44" s="20" t="n"/>
      <c r="O44" s="20" t="n"/>
      <c r="P44" s="20" t="n"/>
      <c r="Q44" s="20" t="n"/>
      <c r="R44" s="20" t="n"/>
      <c r="S44" s="20" t="n"/>
      <c r="T44" s="23">
        <f>IFERROR(AVERAGE(D44:S44),"")</f>
        <v/>
      </c>
    </row>
    <row r="45">
      <c r="A45" s="22" t="n">
        <v>43703</v>
      </c>
      <c r="B45" s="22" t="n">
        <v>43707</v>
      </c>
      <c r="C45">
        <f>TEXT(A45,"yyyy-mm")</f>
        <v/>
      </c>
      <c r="D45" s="20" t="n"/>
      <c r="E45" s="20" t="n">
        <v>2.1017</v>
      </c>
      <c r="F45" s="20" t="n">
        <v>2.1019</v>
      </c>
      <c r="G45" s="20" t="n">
        <v>2.117</v>
      </c>
      <c r="H45" s="20" t="n">
        <v>2.1496</v>
      </c>
      <c r="I45" s="20" t="n">
        <v>2.1292</v>
      </c>
      <c r="J45" s="20" t="n"/>
      <c r="K45" s="20" t="n"/>
      <c r="L45" s="20" t="n"/>
      <c r="M45" s="20" t="n"/>
      <c r="N45" s="20" t="n"/>
      <c r="O45" s="20" t="n"/>
      <c r="P45" s="20" t="n"/>
      <c r="Q45" s="20" t="n"/>
      <c r="R45" s="20" t="n"/>
      <c r="S45" s="20" t="n"/>
      <c r="T45" s="23">
        <f>IFERROR(AVERAGE(D45:S45),"")</f>
        <v/>
      </c>
    </row>
    <row r="46">
      <c r="A46" s="22" t="n">
        <v>43710</v>
      </c>
      <c r="B46" s="22" t="n">
        <v>43714</v>
      </c>
      <c r="C46">
        <f>TEXT(A46,"yyyy-mm")</f>
        <v/>
      </c>
      <c r="D46" s="20" t="n">
        <v>2.121583</v>
      </c>
      <c r="E46" s="20" t="n">
        <v>2.150355</v>
      </c>
      <c r="F46" s="20" t="n">
        <v>2.124083</v>
      </c>
      <c r="G46" s="20" t="n">
        <v>2.138208</v>
      </c>
      <c r="H46" s="20" t="n">
        <v>2.17777</v>
      </c>
      <c r="I46" s="20" t="n">
        <v>2.16871</v>
      </c>
      <c r="J46" s="20" t="n">
        <v>2.158145</v>
      </c>
      <c r="K46" s="20" t="n">
        <v>2.180343</v>
      </c>
      <c r="L46" s="20" t="n">
        <v>2.243228</v>
      </c>
      <c r="M46" s="20" t="n">
        <v>2.250268</v>
      </c>
      <c r="N46" s="20" t="n">
        <v>2.186418</v>
      </c>
      <c r="O46" s="20" t="n">
        <v>2.203838</v>
      </c>
      <c r="P46" s="20" t="n">
        <v>2.211238</v>
      </c>
      <c r="Q46" s="20" t="n">
        <v>2.208998</v>
      </c>
      <c r="R46" s="20" t="n">
        <v>2.18728</v>
      </c>
      <c r="S46" s="20" t="n">
        <v>2.177495</v>
      </c>
      <c r="T46" s="23">
        <f>IFERROR(AVERAGE(D46:S46),"")</f>
        <v/>
      </c>
    </row>
    <row r="47">
      <c r="A47" s="22" t="n">
        <v>43717</v>
      </c>
      <c r="B47" s="22" t="n">
        <v>43721</v>
      </c>
      <c r="C47">
        <f>TEXT(A47,"yyyy-mm")</f>
        <v/>
      </c>
      <c r="D47" s="20" t="n">
        <v>2.14897</v>
      </c>
      <c r="E47" s="20" t="n">
        <v>2.175732</v>
      </c>
      <c r="F47" s="20" t="n">
        <v>2.150292</v>
      </c>
      <c r="G47" s="20" t="n">
        <v>2.163554</v>
      </c>
      <c r="H47" s="20" t="n">
        <v>2.20195</v>
      </c>
      <c r="I47" s="20" t="n">
        <v>2.192758</v>
      </c>
      <c r="J47" s="20" t="n">
        <v>2.182396</v>
      </c>
      <c r="K47" s="20" t="n">
        <v>2.206552</v>
      </c>
      <c r="L47" s="20" t="n">
        <v>2.26741</v>
      </c>
      <c r="M47" s="20" t="n">
        <v>2.274444</v>
      </c>
      <c r="N47" s="20" t="n">
        <v>2.2106</v>
      </c>
      <c r="O47" s="20" t="n">
        <v>2.228014</v>
      </c>
      <c r="P47" s="20" t="n">
        <v>2.235414</v>
      </c>
      <c r="Q47" s="20" t="n">
        <v>2.233174</v>
      </c>
      <c r="R47" s="20" t="n">
        <v>2.211326</v>
      </c>
      <c r="S47" s="20" t="n">
        <v>2.201746</v>
      </c>
      <c r="T47" s="23">
        <f>IFERROR(AVERAGE(D47:S47),"")</f>
        <v/>
      </c>
    </row>
    <row r="48">
      <c r="A48" s="22" t="n">
        <v>43724</v>
      </c>
      <c r="B48" s="22" t="n">
        <v>43728</v>
      </c>
      <c r="C48">
        <f>TEXT(A48,"yyyy-mm")</f>
        <v/>
      </c>
      <c r="D48" s="20" t="n">
        <v>2.248426</v>
      </c>
      <c r="E48" s="20" t="n">
        <v>2.274384</v>
      </c>
      <c r="F48" s="20" t="n">
        <v>2.249206</v>
      </c>
      <c r="G48" s="20" t="n">
        <v>2.26216</v>
      </c>
      <c r="H48" s="20" t="n">
        <v>2.300102</v>
      </c>
      <c r="I48" s="20" t="n">
        <v>2.290974</v>
      </c>
      <c r="J48" s="20" t="n">
        <v>2.280426</v>
      </c>
      <c r="K48" s="20" t="n">
        <v>2.305466</v>
      </c>
      <c r="L48" s="20" t="n">
        <v>2.365556</v>
      </c>
      <c r="M48" s="20" t="n">
        <v>2.372594</v>
      </c>
      <c r="N48" s="20" t="n">
        <v>2.308746</v>
      </c>
      <c r="O48" s="20" t="n">
        <v>2.326164</v>
      </c>
      <c r="P48" s="20" t="n">
        <v>2.333564</v>
      </c>
      <c r="Q48" s="20" t="n">
        <v>2.331324</v>
      </c>
      <c r="R48" s="20" t="n">
        <v>2.309544</v>
      </c>
      <c r="S48" s="20" t="n">
        <v>2.299778</v>
      </c>
      <c r="T48" s="23">
        <f>IFERROR(AVERAGE(D48:S48),"")</f>
        <v/>
      </c>
    </row>
    <row r="49">
      <c r="A49" s="22" t="n">
        <v>43731</v>
      </c>
      <c r="B49" s="22" t="n">
        <v>43735</v>
      </c>
      <c r="C49">
        <f>TEXT(A49,"yyyy-mm")</f>
        <v/>
      </c>
      <c r="D49" s="20" t="n">
        <v>2.261728</v>
      </c>
      <c r="E49" s="20" t="n">
        <v>2.287338</v>
      </c>
      <c r="F49" s="20" t="n">
        <v>2.262198</v>
      </c>
      <c r="G49" s="20" t="n">
        <v>2.275128</v>
      </c>
      <c r="H49" s="20" t="n">
        <v>2.313048</v>
      </c>
      <c r="I49" s="20" t="n">
        <v>2.303872</v>
      </c>
      <c r="J49" s="20" t="n">
        <v>2.293434</v>
      </c>
      <c r="K49" s="20" t="n">
        <v>2.318458</v>
      </c>
      <c r="L49" s="20" t="n">
        <v>2.378508</v>
      </c>
      <c r="M49" s="20" t="n">
        <v>2.38554</v>
      </c>
      <c r="N49" s="20" t="n">
        <v>2.321698</v>
      </c>
      <c r="O49" s="20" t="n">
        <v>2.33911</v>
      </c>
      <c r="P49" s="20" t="n">
        <v>2.34651</v>
      </c>
      <c r="Q49" s="20" t="n">
        <v>2.34427</v>
      </c>
      <c r="R49" s="20" t="n">
        <v>2.322442</v>
      </c>
      <c r="S49" s="20" t="n">
        <v>2.312784</v>
      </c>
      <c r="T49" s="23">
        <f>IFERROR(AVERAGE(D49:S49),"")</f>
        <v/>
      </c>
    </row>
    <row r="50">
      <c r="A50" s="22" t="n">
        <v>43738</v>
      </c>
      <c r="B50" s="22" t="n">
        <v>43742</v>
      </c>
      <c r="C50">
        <f>TEXT(A50,"yyyy-mm")</f>
        <v/>
      </c>
      <c r="D50" s="20" t="n">
        <v>2.172308</v>
      </c>
      <c r="E50" s="20" t="n">
        <v>2.199202</v>
      </c>
      <c r="F50" s="20" t="n">
        <v>2.17364</v>
      </c>
      <c r="G50" s="20" t="n">
        <v>2.187026</v>
      </c>
      <c r="H50" s="20" t="n">
        <v>2.225588</v>
      </c>
      <c r="I50" s="20" t="n">
        <v>2.216426</v>
      </c>
      <c r="J50" s="20" t="n">
        <v>2.206008</v>
      </c>
      <c r="K50" s="20" t="n">
        <v>2.229902</v>
      </c>
      <c r="L50" s="20" t="n">
        <v>2.291046</v>
      </c>
      <c r="M50" s="20" t="n">
        <v>2.298082</v>
      </c>
      <c r="N50" s="20" t="n">
        <v>2.234234</v>
      </c>
      <c r="O50" s="20" t="n">
        <v>2.251652</v>
      </c>
      <c r="P50" s="20" t="n">
        <v>2.259052</v>
      </c>
      <c r="Q50" s="20" t="n">
        <v>2.256812</v>
      </c>
      <c r="R50" s="20" t="n">
        <v>2.234992</v>
      </c>
      <c r="S50" s="20" t="n">
        <v>2.225358</v>
      </c>
      <c r="T50" s="23">
        <f>IFERROR(AVERAGE(D50:S50),"")</f>
        <v/>
      </c>
    </row>
    <row r="51">
      <c r="A51" s="22" t="n">
        <v>43745</v>
      </c>
      <c r="B51" s="22" t="n">
        <v>43749</v>
      </c>
      <c r="C51">
        <f>TEXT(A51,"yyyy-mm")</f>
        <v/>
      </c>
      <c r="D51" s="20" t="n">
        <v>2.191178</v>
      </c>
      <c r="E51" s="20" t="n">
        <v>2.22524</v>
      </c>
      <c r="F51" s="20" t="n">
        <v>2.196996</v>
      </c>
      <c r="G51" s="20" t="n">
        <v>2.213122</v>
      </c>
      <c r="H51" s="20" t="n">
        <v>2.255326</v>
      </c>
      <c r="I51" s="20" t="n">
        <v>2.24673</v>
      </c>
      <c r="J51" s="20" t="n">
        <v>2.235334</v>
      </c>
      <c r="K51" s="20" t="n">
        <v>2.253256</v>
      </c>
      <c r="L51" s="20" t="n">
        <v>2.320784</v>
      </c>
      <c r="M51" s="20" t="n">
        <v>2.327822</v>
      </c>
      <c r="N51" s="20" t="n">
        <v>2.263974</v>
      </c>
      <c r="O51" s="20" t="n">
        <v>2.281392</v>
      </c>
      <c r="P51" s="20" t="n">
        <v>2.288792</v>
      </c>
      <c r="Q51" s="20" t="n">
        <v>2.286552</v>
      </c>
      <c r="R51" s="20" t="n">
        <v>2.265298</v>
      </c>
      <c r="S51" s="20" t="n">
        <v>2.254686</v>
      </c>
      <c r="T51" s="23">
        <f>IFERROR(AVERAGE(D51:S51),"")</f>
        <v/>
      </c>
    </row>
    <row r="52">
      <c r="A52" s="22" t="n">
        <v>43752</v>
      </c>
      <c r="B52" s="22" t="n">
        <v>43756</v>
      </c>
      <c r="C52">
        <f>TEXT(A52,"yyyy-mm")</f>
        <v/>
      </c>
      <c r="D52" s="20" t="n">
        <v>2.22614</v>
      </c>
      <c r="E52" s="20" t="n">
        <v>2.26689</v>
      </c>
      <c r="F52" s="20" t="n">
        <v>2.235992</v>
      </c>
      <c r="G52" s="20" t="n">
        <v>2.254896</v>
      </c>
      <c r="H52" s="20" t="n">
        <v>2.300884</v>
      </c>
      <c r="I52" s="20" t="n">
        <v>2.292624</v>
      </c>
      <c r="J52" s="20" t="n">
        <v>2.280776</v>
      </c>
      <c r="K52" s="20" t="n">
        <v>2.292254</v>
      </c>
      <c r="L52" s="20" t="n">
        <v>2.36634</v>
      </c>
      <c r="M52" s="20" t="n">
        <v>2.373378</v>
      </c>
      <c r="N52" s="20" t="n">
        <v>2.30953</v>
      </c>
      <c r="O52" s="20" t="n">
        <v>2.326948</v>
      </c>
      <c r="P52" s="20" t="n">
        <v>2.334348</v>
      </c>
      <c r="Q52" s="20" t="n">
        <v>2.332108</v>
      </c>
      <c r="R52" s="20" t="n">
        <v>2.311192</v>
      </c>
      <c r="S52" s="20" t="n">
        <v>2.300126</v>
      </c>
      <c r="T52" s="23">
        <f>IFERROR(AVERAGE(D52:S52),"")</f>
        <v/>
      </c>
    </row>
    <row r="53">
      <c r="A53" s="22" t="n">
        <v>43759</v>
      </c>
      <c r="B53" s="22" t="n">
        <v>43763</v>
      </c>
      <c r="C53">
        <f>TEXT(A53,"yyyy-mm")</f>
        <v/>
      </c>
      <c r="D53" s="20" t="n">
        <v>2.177342</v>
      </c>
      <c r="E53" s="20" t="n">
        <v>2.213266</v>
      </c>
      <c r="F53" s="20" t="n">
        <v>2.184396</v>
      </c>
      <c r="G53" s="20" t="n">
        <v>2.201132</v>
      </c>
      <c r="H53" s="20" t="n">
        <v>2.244116</v>
      </c>
      <c r="I53" s="20" t="n">
        <v>2.235736</v>
      </c>
      <c r="J53" s="20" t="n">
        <v>2.223916</v>
      </c>
      <c r="K53" s="20" t="n">
        <v>2.240656</v>
      </c>
      <c r="L53" s="20" t="n">
        <v>2.309574</v>
      </c>
      <c r="M53" s="20" t="n">
        <v>2.316606</v>
      </c>
      <c r="N53" s="20" t="n">
        <v>2.252764</v>
      </c>
      <c r="O53" s="20" t="n">
        <v>2.270176</v>
      </c>
      <c r="P53" s="20" t="n">
        <v>2.277576</v>
      </c>
      <c r="Q53" s="20" t="n">
        <v>2.275336</v>
      </c>
      <c r="R53" s="20" t="n">
        <v>2.254302</v>
      </c>
      <c r="S53" s="20" t="n">
        <v>2.243268</v>
      </c>
      <c r="T53" s="23">
        <f>IFERROR(AVERAGE(D53:S53),"")</f>
        <v/>
      </c>
    </row>
    <row r="54">
      <c r="A54" s="22" t="n">
        <v>43766</v>
      </c>
      <c r="B54" s="22" t="n">
        <v>43770</v>
      </c>
      <c r="C54">
        <f>TEXT(A54,"yyyy-mm")</f>
        <v/>
      </c>
      <c r="D54" s="20" t="n">
        <v>2.111622</v>
      </c>
      <c r="E54" s="20" t="n">
        <v>2.146162</v>
      </c>
      <c r="F54" s="20" t="n">
        <v>2.117916</v>
      </c>
      <c r="G54" s="20" t="n">
        <v>2.13401</v>
      </c>
      <c r="H54" s="20" t="n">
        <v>2.176122</v>
      </c>
      <c r="I54" s="20" t="n">
        <v>2.167636</v>
      </c>
      <c r="J54" s="20" t="n">
        <v>2.155986</v>
      </c>
      <c r="K54" s="20" t="n">
        <v>2.17418</v>
      </c>
      <c r="L54" s="20" t="n">
        <v>2.241582</v>
      </c>
      <c r="M54" s="20" t="n">
        <v>2.248616</v>
      </c>
      <c r="N54" s="20" t="n">
        <v>2.184772</v>
      </c>
      <c r="O54" s="20" t="n">
        <v>2.202184</v>
      </c>
      <c r="P54" s="20" t="n">
        <v>2.209584</v>
      </c>
      <c r="Q54" s="20" t="n">
        <v>2.207344</v>
      </c>
      <c r="R54" s="20" t="n">
        <v>2.186204</v>
      </c>
      <c r="S54" s="20" t="n">
        <v>2.175338</v>
      </c>
      <c r="T54" s="23">
        <f>IFERROR(AVERAGE(D54:S54),"")</f>
        <v/>
      </c>
    </row>
    <row r="55">
      <c r="A55" s="22" t="n">
        <v>43773</v>
      </c>
      <c r="B55" s="22" t="n">
        <v>43777</v>
      </c>
      <c r="C55">
        <f>TEXT(A55,"yyyy-mm")</f>
        <v/>
      </c>
      <c r="D55" s="20" t="n">
        <v>2.147288</v>
      </c>
      <c r="E55" s="20" t="n">
        <v>2.189224</v>
      </c>
      <c r="F55" s="20" t="n">
        <v>2.158068</v>
      </c>
      <c r="G55" s="20" t="n">
        <v>2.177148</v>
      </c>
      <c r="H55" s="20" t="n">
        <v>2.223252</v>
      </c>
      <c r="I55" s="20" t="n">
        <v>2.215338</v>
      </c>
      <c r="J55" s="20" t="n">
        <v>2.202734</v>
      </c>
      <c r="K55" s="20" t="n">
        <v>2.21433</v>
      </c>
      <c r="L55" s="20" t="n">
        <v>2.288712</v>
      </c>
      <c r="M55" s="20" t="n">
        <v>2.295748</v>
      </c>
      <c r="N55" s="20" t="n">
        <v>2.231902</v>
      </c>
      <c r="O55" s="20" t="n">
        <v>2.249318</v>
      </c>
      <c r="P55" s="20" t="n">
        <v>2.256718</v>
      </c>
      <c r="Q55" s="20" t="n">
        <v>2.254478</v>
      </c>
      <c r="R55" s="20" t="n">
        <v>2.233902</v>
      </c>
      <c r="S55" s="20" t="n">
        <v>2.222084</v>
      </c>
      <c r="T55" s="23">
        <f>IFERROR(AVERAGE(D55:S55),"")</f>
        <v/>
      </c>
    </row>
    <row r="56">
      <c r="A56" s="22" t="n">
        <v>43780</v>
      </c>
      <c r="B56" s="22" t="n">
        <v>43784</v>
      </c>
      <c r="C56">
        <f>TEXT(A56,"yyyy-mm")</f>
        <v/>
      </c>
      <c r="D56" s="20" t="n">
        <v>2.181572</v>
      </c>
      <c r="E56" s="20" t="n">
        <v>2.226402</v>
      </c>
      <c r="F56" s="20" t="n">
        <v>2.193906</v>
      </c>
      <c r="G56" s="20" t="n">
        <v>2.214444</v>
      </c>
      <c r="H56" s="20" t="n">
        <v>2.26261</v>
      </c>
      <c r="I56" s="20" t="n">
        <v>2.254682</v>
      </c>
      <c r="J56" s="20" t="n">
        <v>2.242258</v>
      </c>
      <c r="K56" s="20" t="n">
        <v>2.250168</v>
      </c>
      <c r="L56" s="20" t="n">
        <v>2.328064</v>
      </c>
      <c r="M56" s="20" t="n">
        <v>2.335102</v>
      </c>
      <c r="N56" s="20" t="n">
        <v>2.271254</v>
      </c>
      <c r="O56" s="20" t="n">
        <v>2.288672</v>
      </c>
      <c r="P56" s="20" t="n">
        <v>2.296072</v>
      </c>
      <c r="Q56" s="20" t="n">
        <v>2.293832</v>
      </c>
      <c r="R56" s="20" t="n">
        <v>2.273248</v>
      </c>
      <c r="S56" s="20" t="n">
        <v>2.261608</v>
      </c>
      <c r="T56" s="23">
        <f>IFERROR(AVERAGE(D56:S56),"")</f>
        <v/>
      </c>
    </row>
    <row r="57">
      <c r="A57" s="22" t="n">
        <v>43787</v>
      </c>
      <c r="B57" s="22" t="n">
        <v>43791</v>
      </c>
      <c r="C57">
        <f>TEXT(A57,"yyyy-mm")</f>
        <v/>
      </c>
      <c r="D57" s="20" t="n">
        <v>2.18088</v>
      </c>
      <c r="E57" s="20" t="n">
        <v>2.224066</v>
      </c>
      <c r="F57" s="20" t="n">
        <v>2.192146</v>
      </c>
      <c r="G57" s="20" t="n">
        <v>2.212112</v>
      </c>
      <c r="H57" s="20" t="n">
        <v>2.25954</v>
      </c>
      <c r="I57" s="20" t="n">
        <v>2.251436</v>
      </c>
      <c r="J57" s="20" t="n">
        <v>2.239354</v>
      </c>
      <c r="K57" s="20" t="n">
        <v>2.248406</v>
      </c>
      <c r="L57" s="20" t="n">
        <v>2.324998</v>
      </c>
      <c r="M57" s="20" t="n">
        <v>2.332036</v>
      </c>
      <c r="N57" s="20" t="n">
        <v>2.268188</v>
      </c>
      <c r="O57" s="20" t="n">
        <v>2.285606</v>
      </c>
      <c r="P57" s="20" t="n">
        <v>2.293004</v>
      </c>
      <c r="Q57" s="20" t="n">
        <v>2.290764</v>
      </c>
      <c r="R57" s="20" t="n">
        <v>2.27</v>
      </c>
      <c r="S57" s="20" t="n">
        <v>2.258704</v>
      </c>
      <c r="T57" s="23">
        <f>IFERROR(AVERAGE(D57:S57),"")</f>
        <v/>
      </c>
    </row>
    <row r="58">
      <c r="A58" s="22" t="n">
        <v>43794</v>
      </c>
      <c r="B58" s="22" t="n">
        <v>43798</v>
      </c>
      <c r="C58">
        <f>TEXT(A58,"yyyy-mm")</f>
        <v/>
      </c>
      <c r="D58" s="20" t="n">
        <v>2.255473</v>
      </c>
      <c r="E58" s="20" t="n">
        <v>2.296297</v>
      </c>
      <c r="F58" s="20" t="n">
        <v>2.265197</v>
      </c>
      <c r="G58" s="20" t="n">
        <v>2.284333</v>
      </c>
      <c r="H58" s="20" t="n">
        <v>2.330677</v>
      </c>
      <c r="I58" s="20" t="n">
        <v>2.32237</v>
      </c>
      <c r="J58" s="20" t="n">
        <v>2.310657</v>
      </c>
      <c r="K58" s="20" t="n">
        <v>2.321457</v>
      </c>
      <c r="L58" s="20" t="n">
        <v>2.396137</v>
      </c>
      <c r="M58" s="20" t="n">
        <v>2.40317</v>
      </c>
      <c r="N58" s="20" t="n">
        <v>2.339327</v>
      </c>
      <c r="O58" s="20" t="n">
        <v>2.35674</v>
      </c>
      <c r="P58" s="20" t="n">
        <v>2.36414</v>
      </c>
      <c r="Q58" s="20" t="n">
        <v>2.3619</v>
      </c>
      <c r="R58" s="20" t="n">
        <v>2.340937</v>
      </c>
      <c r="S58" s="20" t="n">
        <v>2.330007</v>
      </c>
      <c r="T58" s="23">
        <f>IFERROR(AVERAGE(D58:S58),"")</f>
        <v/>
      </c>
    </row>
    <row r="59">
      <c r="A59" s="22" t="n">
        <v>43801</v>
      </c>
      <c r="B59" s="22" t="n">
        <v>43805</v>
      </c>
      <c r="C59">
        <f>TEXT(A59,"yyyy-mm")</f>
        <v/>
      </c>
      <c r="D59" s="20" t="n">
        <v>2.201794</v>
      </c>
      <c r="E59" s="20" t="n">
        <v>2.244926</v>
      </c>
      <c r="F59" s="20" t="n">
        <v>2.213046</v>
      </c>
      <c r="G59" s="20" t="n">
        <v>2.232952</v>
      </c>
      <c r="H59" s="20" t="n">
        <v>2.280276</v>
      </c>
      <c r="I59" s="20" t="n">
        <v>2.272224</v>
      </c>
      <c r="J59" s="20" t="n">
        <v>2.260014</v>
      </c>
      <c r="K59" s="20" t="n">
        <v>2.269308</v>
      </c>
      <c r="L59" s="20" t="n">
        <v>2.345732</v>
      </c>
      <c r="M59" s="20" t="n">
        <v>2.35277</v>
      </c>
      <c r="N59" s="20" t="n">
        <v>2.288922</v>
      </c>
      <c r="O59" s="20" t="n">
        <v>2.30634</v>
      </c>
      <c r="P59" s="20" t="n">
        <v>2.31374</v>
      </c>
      <c r="Q59" s="20" t="n">
        <v>2.3115</v>
      </c>
      <c r="R59" s="20" t="n">
        <v>2.290792</v>
      </c>
      <c r="S59" s="20" t="n">
        <v>2.279364</v>
      </c>
      <c r="T59" s="23">
        <f>IFERROR(AVERAGE(D59:S59),"")</f>
        <v/>
      </c>
    </row>
    <row r="60">
      <c r="A60" s="22" t="n">
        <v>43808</v>
      </c>
      <c r="B60" s="22" t="n">
        <v>43812</v>
      </c>
      <c r="C60">
        <f>TEXT(A60,"yyyy-mm")</f>
        <v/>
      </c>
      <c r="D60" s="20" t="n">
        <v>2.200232</v>
      </c>
      <c r="E60" s="20" t="n">
        <v>2.247844</v>
      </c>
      <c r="F60" s="20" t="n">
        <v>2.214382</v>
      </c>
      <c r="G60" s="20" t="n">
        <v>2.23591</v>
      </c>
      <c r="H60" s="20" t="n">
        <v>2.285394</v>
      </c>
      <c r="I60" s="20" t="n">
        <v>2.277664</v>
      </c>
      <c r="J60" s="20" t="n">
        <v>2.264906</v>
      </c>
      <c r="K60" s="20" t="n">
        <v>2.270644</v>
      </c>
      <c r="L60" s="20" t="n">
        <v>2.350854</v>
      </c>
      <c r="M60" s="20" t="n">
        <v>2.357888</v>
      </c>
      <c r="N60" s="20" t="n">
        <v>2.294042</v>
      </c>
      <c r="O60" s="20" t="n">
        <v>2.311458</v>
      </c>
      <c r="P60" s="20" t="n">
        <v>2.318858</v>
      </c>
      <c r="Q60" s="20" t="n">
        <v>2.316618</v>
      </c>
      <c r="R60" s="20" t="n">
        <v>2.29623</v>
      </c>
      <c r="S60" s="20" t="n">
        <v>2.284256</v>
      </c>
      <c r="T60" s="23">
        <f>IFERROR(AVERAGE(D60:S60),"")</f>
        <v/>
      </c>
    </row>
    <row r="61">
      <c r="A61" s="22" t="n">
        <v>43815</v>
      </c>
      <c r="B61" s="22" t="n">
        <v>43819</v>
      </c>
      <c r="C61">
        <f>TEXT(A61,"yyyy-mm")</f>
        <v/>
      </c>
      <c r="D61" s="20" t="n">
        <v>2.245646</v>
      </c>
      <c r="E61" s="20" t="n">
        <v>2.292476</v>
      </c>
      <c r="F61" s="20" t="n">
        <v>2.25938</v>
      </c>
      <c r="G61" s="20" t="n">
        <v>2.28056</v>
      </c>
      <c r="H61" s="20" t="n">
        <v>2.329628</v>
      </c>
      <c r="I61" s="20" t="n">
        <v>2.321718</v>
      </c>
      <c r="J61" s="20" t="n">
        <v>2.309326</v>
      </c>
      <c r="K61" s="20" t="n">
        <v>2.31564</v>
      </c>
      <c r="L61" s="20" t="n">
        <v>2.395086</v>
      </c>
      <c r="M61" s="20" t="n">
        <v>2.402118</v>
      </c>
      <c r="N61" s="20" t="n">
        <v>2.338276</v>
      </c>
      <c r="O61" s="20" t="n">
        <v>2.355688</v>
      </c>
      <c r="P61" s="20" t="n">
        <v>2.363088</v>
      </c>
      <c r="Q61" s="20" t="n">
        <v>2.360848</v>
      </c>
      <c r="R61" s="20" t="n">
        <v>2.340286</v>
      </c>
      <c r="S61" s="20" t="n">
        <v>2.328676</v>
      </c>
      <c r="T61" s="23">
        <f>IFERROR(AVERAGE(D61:S61),"")</f>
        <v/>
      </c>
    </row>
    <row r="62">
      <c r="A62" s="22" t="n">
        <v>43822</v>
      </c>
      <c r="B62" s="22" t="n">
        <v>43826</v>
      </c>
      <c r="C62">
        <f>TEXT(A62,"yyyy-mm")</f>
        <v/>
      </c>
      <c r="D62" s="20" t="n">
        <v>2.285885</v>
      </c>
      <c r="E62" s="20" t="n">
        <v>2.33236</v>
      </c>
      <c r="F62" s="20" t="n">
        <v>2.29938</v>
      </c>
      <c r="G62" s="20" t="n">
        <v>2.32048</v>
      </c>
      <c r="H62" s="20" t="n">
        <v>2.36949</v>
      </c>
      <c r="I62" s="20" t="n">
        <v>2.361438</v>
      </c>
      <c r="J62" s="20" t="n">
        <v>2.34936</v>
      </c>
      <c r="K62" s="20" t="n">
        <v>2.35564</v>
      </c>
      <c r="L62" s="20" t="n">
        <v>2.434945</v>
      </c>
      <c r="M62" s="20" t="n">
        <v>2.441985</v>
      </c>
      <c r="N62" s="20" t="n">
        <v>2.378135</v>
      </c>
      <c r="O62" s="20" t="n">
        <v>2.395555</v>
      </c>
      <c r="P62" s="20" t="n">
        <v>2.402955</v>
      </c>
      <c r="Q62" s="20" t="n">
        <v>2.400715</v>
      </c>
      <c r="R62" s="20" t="n">
        <v>2.380008</v>
      </c>
      <c r="S62" s="20" t="n">
        <v>2.36871</v>
      </c>
      <c r="T62" s="23">
        <f>IFERROR(AVERAGE(D62:S62),"")</f>
        <v/>
      </c>
    </row>
    <row r="63">
      <c r="A63" s="22" t="n">
        <v>43829</v>
      </c>
      <c r="B63" s="22" t="n">
        <v>43833</v>
      </c>
      <c r="C63">
        <f>TEXT(A63,"yyyy-mm")</f>
        <v/>
      </c>
      <c r="D63" s="20" t="n">
        <v>2.276323</v>
      </c>
      <c r="E63" s="20" t="n">
        <v>2.323823</v>
      </c>
      <c r="F63" s="20" t="n">
        <v>2.290355</v>
      </c>
      <c r="G63" s="20" t="n">
        <v>2.311978</v>
      </c>
      <c r="H63" s="20" t="n">
        <v>2.361725</v>
      </c>
      <c r="I63" s="20" t="n">
        <v>2.352688</v>
      </c>
      <c r="J63" s="20" t="n">
        <v>2.34386</v>
      </c>
      <c r="K63" s="20" t="n">
        <v>2.346615</v>
      </c>
      <c r="L63" s="20" t="n">
        <v>2.427183</v>
      </c>
      <c r="M63" s="20" t="n">
        <v>2.434215</v>
      </c>
      <c r="N63" s="20" t="n">
        <v>2.370373</v>
      </c>
      <c r="O63" s="20" t="n">
        <v>2.387785</v>
      </c>
      <c r="P63" s="20" t="n">
        <v>2.395185</v>
      </c>
      <c r="Q63" s="20" t="n">
        <v>2.392945</v>
      </c>
      <c r="R63" s="20" t="n">
        <v>2.371255</v>
      </c>
      <c r="S63" s="20" t="n">
        <v>2.363213</v>
      </c>
      <c r="T63" s="23">
        <f>IFERROR(AVERAGE(D63:S63),"")</f>
        <v/>
      </c>
    </row>
    <row r="64">
      <c r="A64" s="22" t="n">
        <v>43836</v>
      </c>
      <c r="B64" s="22" t="n">
        <v>43840</v>
      </c>
      <c r="C64">
        <f>TEXT(A64,"yyyy-mm")</f>
        <v/>
      </c>
      <c r="D64" s="20" t="n">
        <v>2.264302</v>
      </c>
      <c r="E64" s="20" t="n">
        <v>2.31765</v>
      </c>
      <c r="F64" s="20" t="n">
        <v>2.281678</v>
      </c>
      <c r="G64" s="20" t="n">
        <v>2.305912</v>
      </c>
      <c r="H64" s="20" t="n">
        <v>2.359228</v>
      </c>
      <c r="I64" s="20" t="n">
        <v>2.349276</v>
      </c>
      <c r="J64" s="20" t="n">
        <v>2.344018</v>
      </c>
      <c r="K64" s="20" t="n">
        <v>2.337938</v>
      </c>
      <c r="L64" s="20" t="n">
        <v>2.424688</v>
      </c>
      <c r="M64" s="20" t="n">
        <v>2.431722</v>
      </c>
      <c r="N64" s="20" t="n">
        <v>2.367878</v>
      </c>
      <c r="O64" s="20" t="n">
        <v>2.38529</v>
      </c>
      <c r="P64" s="20" t="n">
        <v>2.39269</v>
      </c>
      <c r="Q64" s="20" t="n">
        <v>2.39045</v>
      </c>
      <c r="R64" s="20" t="n">
        <v>2.367846</v>
      </c>
      <c r="S64" s="20" t="n">
        <v>2.363374</v>
      </c>
      <c r="T64" s="23">
        <f>IFERROR(AVERAGE(D64:S64),"")</f>
        <v/>
      </c>
    </row>
    <row r="65">
      <c r="A65" s="22" t="n">
        <v>43843</v>
      </c>
      <c r="B65" s="22" t="n">
        <v>43847</v>
      </c>
      <c r="C65">
        <f>TEXT(A65,"yyyy-mm")</f>
        <v/>
      </c>
      <c r="D65" s="20" t="n">
        <v>2.198738</v>
      </c>
      <c r="E65" s="20" t="n">
        <v>2.26462</v>
      </c>
      <c r="F65" s="20" t="n">
        <v>2.22366</v>
      </c>
      <c r="G65" s="20" t="n">
        <v>2.253018</v>
      </c>
      <c r="H65" s="20" t="n">
        <v>2.313198</v>
      </c>
      <c r="I65" s="20" t="n">
        <v>2.303702</v>
      </c>
      <c r="J65" s="20" t="n">
        <v>2.29847</v>
      </c>
      <c r="K65" s="20" t="n">
        <v>2.27992</v>
      </c>
      <c r="L65" s="20" t="n">
        <v>2.378656</v>
      </c>
      <c r="M65" s="20" t="n">
        <v>2.385694</v>
      </c>
      <c r="N65" s="20" t="n">
        <v>2.321846</v>
      </c>
      <c r="O65" s="20" t="n">
        <v>2.339262</v>
      </c>
      <c r="P65" s="20" t="n">
        <v>2.346662</v>
      </c>
      <c r="Q65" s="20" t="n">
        <v>2.344422</v>
      </c>
      <c r="R65" s="20" t="n">
        <v>2.32227</v>
      </c>
      <c r="S65" s="20" t="n">
        <v>2.31782</v>
      </c>
      <c r="T65" s="23">
        <f>IFERROR(AVERAGE(D65:S65),"")</f>
        <v/>
      </c>
    </row>
    <row r="66">
      <c r="A66" s="22" t="n">
        <v>43850</v>
      </c>
      <c r="B66" s="22" t="n">
        <v>43854</v>
      </c>
      <c r="C66">
        <f>TEXT(A66,"yyyy-mm")</f>
        <v/>
      </c>
      <c r="D66" s="20" t="n">
        <v>2.141738</v>
      </c>
      <c r="E66" s="20" t="n">
        <v>2.20982</v>
      </c>
      <c r="F66" s="20" t="n">
        <v>2.16793</v>
      </c>
      <c r="G66" s="20" t="n">
        <v>2.198313</v>
      </c>
      <c r="H66" s="20" t="n">
        <v>2.259943</v>
      </c>
      <c r="I66" s="20" t="n">
        <v>2.250323</v>
      </c>
      <c r="J66" s="20" t="n">
        <v>2.245568</v>
      </c>
      <c r="K66" s="20" t="n">
        <v>2.22419</v>
      </c>
      <c r="L66" s="20" t="n">
        <v>2.325403</v>
      </c>
      <c r="M66" s="20" t="n">
        <v>2.332438</v>
      </c>
      <c r="N66" s="20" t="n">
        <v>2.268593</v>
      </c>
      <c r="O66" s="20" t="n">
        <v>2.286008</v>
      </c>
      <c r="P66" s="20" t="n">
        <v>2.293408</v>
      </c>
      <c r="Q66" s="20" t="n">
        <v>2.291168</v>
      </c>
      <c r="R66" s="20" t="n">
        <v>2.268888</v>
      </c>
      <c r="S66" s="20" t="n">
        <v>2.26492</v>
      </c>
      <c r="T66" s="23">
        <f>IFERROR(AVERAGE(D66:S66),"")</f>
        <v/>
      </c>
    </row>
    <row r="67">
      <c r="A67" s="22" t="n">
        <v>43857</v>
      </c>
      <c r="B67" s="22" t="n">
        <v>43861</v>
      </c>
      <c r="C67">
        <f>TEXT(A67,"yyyy-mm")</f>
        <v/>
      </c>
      <c r="D67" s="20" t="n">
        <v>2.020112</v>
      </c>
      <c r="E67" s="20" t="n">
        <v>2.08175</v>
      </c>
      <c r="F67" s="20" t="n">
        <v>2.04232</v>
      </c>
      <c r="G67" s="20" t="n">
        <v>2.07007</v>
      </c>
      <c r="H67" s="20" t="n">
        <v>2.128032</v>
      </c>
      <c r="I67" s="20" t="n">
        <v>2.118516</v>
      </c>
      <c r="J67" s="20" t="n">
        <v>2.113</v>
      </c>
      <c r="K67" s="20" t="n">
        <v>2.098582</v>
      </c>
      <c r="L67" s="20" t="n">
        <v>2.193488</v>
      </c>
      <c r="M67" s="20" t="n">
        <v>2.200526</v>
      </c>
      <c r="N67" s="20" t="n">
        <v>2.136678</v>
      </c>
      <c r="O67" s="20" t="n">
        <v>2.154092</v>
      </c>
      <c r="P67" s="20" t="n">
        <v>2.161492</v>
      </c>
      <c r="Q67" s="20" t="n">
        <v>2.159252</v>
      </c>
      <c r="R67" s="20" t="n">
        <v>2.137086</v>
      </c>
      <c r="S67" s="20" t="n">
        <v>2.13235</v>
      </c>
      <c r="T67" s="23">
        <f>IFERROR(AVERAGE(D67:S67),"")</f>
        <v/>
      </c>
    </row>
    <row r="68">
      <c r="A68" s="22" t="n">
        <v>43864</v>
      </c>
      <c r="B68" s="22" t="n">
        <v>43868</v>
      </c>
      <c r="C68">
        <f>TEXT(A68,"yyyy-mm")</f>
        <v/>
      </c>
      <c r="D68" s="20" t="n">
        <v>1.89922</v>
      </c>
      <c r="E68" s="20" t="n">
        <v>1.942668</v>
      </c>
      <c r="F68" s="20" t="n">
        <v>1.910292</v>
      </c>
      <c r="G68" s="20" t="n">
        <v>1.930646</v>
      </c>
      <c r="H68" s="20" t="n">
        <v>1.978512</v>
      </c>
      <c r="I68" s="20" t="n">
        <v>1.968832</v>
      </c>
      <c r="J68" s="20" t="n">
        <v>1.962202</v>
      </c>
      <c r="K68" s="20" t="n">
        <v>1.966554</v>
      </c>
      <c r="L68" s="20" t="n">
        <v>2.04397</v>
      </c>
      <c r="M68" s="20" t="n">
        <v>2.051002</v>
      </c>
      <c r="N68" s="20" t="n">
        <v>1.98716</v>
      </c>
      <c r="O68" s="20" t="n">
        <v>2.004572</v>
      </c>
      <c r="P68" s="20" t="n">
        <v>2.011972</v>
      </c>
      <c r="Q68" s="20" t="n">
        <v>2.009732</v>
      </c>
      <c r="R68" s="20" t="n">
        <v>1.987396</v>
      </c>
      <c r="S68" s="20" t="n">
        <v>1.981552</v>
      </c>
      <c r="T68" s="23">
        <f>IFERROR(AVERAGE(D68:S68),"")</f>
        <v/>
      </c>
    </row>
    <row r="69">
      <c r="A69" s="22" t="n">
        <v>43871</v>
      </c>
      <c r="B69" s="22" t="n">
        <v>43875</v>
      </c>
      <c r="C69">
        <f>TEXT(A69,"yyyy-mm")</f>
        <v/>
      </c>
      <c r="D69" s="20" t="n">
        <v>1.947292</v>
      </c>
      <c r="E69" s="20" t="n">
        <v>1.982814</v>
      </c>
      <c r="F69" s="20" t="n">
        <v>1.953384</v>
      </c>
      <c r="G69" s="20" t="n">
        <v>1.97073</v>
      </c>
      <c r="H69" s="20" t="n">
        <v>2.01459</v>
      </c>
      <c r="I69" s="20" t="n">
        <v>2.004588</v>
      </c>
      <c r="J69" s="20" t="n">
        <v>1.998062</v>
      </c>
      <c r="K69" s="20" t="n">
        <v>2.009646</v>
      </c>
      <c r="L69" s="20" t="n">
        <v>2.080046</v>
      </c>
      <c r="M69" s="20" t="n">
        <v>2.087082</v>
      </c>
      <c r="N69" s="20" t="n">
        <v>2.023236</v>
      </c>
      <c r="O69" s="20" t="n">
        <v>2.040652</v>
      </c>
      <c r="P69" s="20" t="n">
        <v>2.048052</v>
      </c>
      <c r="Q69" s="20" t="n">
        <v>2.045812</v>
      </c>
      <c r="R69" s="20" t="n">
        <v>2.023154</v>
      </c>
      <c r="S69" s="20" t="n">
        <v>2.017412</v>
      </c>
      <c r="T69" s="23">
        <f>IFERROR(AVERAGE(D69:S69),"")</f>
        <v/>
      </c>
    </row>
    <row r="70">
      <c r="A70" s="22" t="n">
        <v>43878</v>
      </c>
      <c r="B70" s="22" t="n">
        <v>43882</v>
      </c>
      <c r="C70">
        <f>TEXT(A70,"yyyy-mm")</f>
        <v/>
      </c>
      <c r="D70" s="20" t="n">
        <v>2.020358</v>
      </c>
      <c r="E70" s="20" t="n">
        <v>2.055368</v>
      </c>
      <c r="F70" s="20" t="n">
        <v>2.026033</v>
      </c>
      <c r="G70" s="20" t="n">
        <v>2.043323</v>
      </c>
      <c r="H70" s="20" t="n">
        <v>2.087153</v>
      </c>
      <c r="I70" s="20" t="n">
        <v>2.077025</v>
      </c>
      <c r="J70" s="20" t="n">
        <v>2.070763</v>
      </c>
      <c r="K70" s="20" t="n">
        <v>2.082293</v>
      </c>
      <c r="L70" s="20" t="n">
        <v>2.152605</v>
      </c>
      <c r="M70" s="20" t="n">
        <v>2.159643</v>
      </c>
      <c r="N70" s="20" t="n">
        <v>2.095795</v>
      </c>
      <c r="O70" s="20" t="n">
        <v>2.113213</v>
      </c>
      <c r="P70" s="20" t="n">
        <v>2.120613</v>
      </c>
      <c r="Q70" s="20" t="n">
        <v>2.118373</v>
      </c>
      <c r="R70" s="20" t="n">
        <v>2.095588</v>
      </c>
      <c r="S70" s="20" t="n">
        <v>2.090113</v>
      </c>
      <c r="T70" s="23">
        <f>IFERROR(AVERAGE(D70:S70),"")</f>
        <v/>
      </c>
    </row>
    <row r="71">
      <c r="A71" s="22" t="n">
        <v>43885</v>
      </c>
      <c r="B71" s="22" t="n">
        <v>43889</v>
      </c>
      <c r="C71">
        <f>TEXT(A71,"yyyy-mm")</f>
        <v/>
      </c>
      <c r="D71" s="20" t="n">
        <v>1.927956</v>
      </c>
      <c r="E71" s="20" t="n">
        <v>1.968084</v>
      </c>
      <c r="F71" s="20" t="n">
        <v>1.936652</v>
      </c>
      <c r="G71" s="20" t="n">
        <v>1.956112</v>
      </c>
      <c r="H71" s="20" t="n">
        <v>2.002882</v>
      </c>
      <c r="I71" s="20" t="n">
        <v>1.992876</v>
      </c>
      <c r="J71" s="20" t="n">
        <v>1.986778</v>
      </c>
      <c r="K71" s="20" t="n">
        <v>1.992914</v>
      </c>
      <c r="L71" s="20" t="n">
        <v>2.06834</v>
      </c>
      <c r="M71" s="20" t="n">
        <v>2.075372</v>
      </c>
      <c r="N71" s="20" t="n">
        <v>2.01153</v>
      </c>
      <c r="O71" s="20" t="n">
        <v>2.028942</v>
      </c>
      <c r="P71" s="20" t="n">
        <v>2.036342</v>
      </c>
      <c r="Q71" s="20" t="n">
        <v>2.034102</v>
      </c>
      <c r="R71" s="20" t="n">
        <v>2.011442</v>
      </c>
      <c r="S71" s="20" t="n">
        <v>2.00613</v>
      </c>
      <c r="T71" s="23">
        <f>IFERROR(AVERAGE(D71:S71),"")</f>
        <v/>
      </c>
    </row>
    <row r="72">
      <c r="A72" s="22" t="n">
        <v>43892</v>
      </c>
      <c r="B72" s="22" t="n">
        <v>43896</v>
      </c>
      <c r="C72">
        <f>TEXT(A72,"yyyy-mm")</f>
        <v/>
      </c>
      <c r="D72" s="20" t="n">
        <v>1.936256</v>
      </c>
      <c r="E72" s="20" t="n">
        <v>1.987062</v>
      </c>
      <c r="F72" s="20" t="n">
        <v>1.951244</v>
      </c>
      <c r="G72" s="20" t="n">
        <v>1.975276</v>
      </c>
      <c r="H72" s="20" t="n">
        <v>2.02825</v>
      </c>
      <c r="I72" s="20" t="n">
        <v>2.018436</v>
      </c>
      <c r="J72" s="20" t="n">
        <v>2.012828</v>
      </c>
      <c r="K72" s="20" t="n">
        <v>2.007506</v>
      </c>
      <c r="L72" s="20" t="n">
        <v>2.093706</v>
      </c>
      <c r="M72" s="20" t="n">
        <v>2.100742</v>
      </c>
      <c r="N72" s="20" t="n">
        <v>2.036896</v>
      </c>
      <c r="O72" s="20" t="n">
        <v>2.054312</v>
      </c>
      <c r="P72" s="20" t="n">
        <v>2.061712</v>
      </c>
      <c r="Q72" s="20" t="n">
        <v>2.059472</v>
      </c>
      <c r="R72" s="20" t="n">
        <v>2.037006</v>
      </c>
      <c r="S72" s="20" t="n">
        <v>2.032178</v>
      </c>
      <c r="T72" s="23">
        <f>IFERROR(AVERAGE(D72:S72),"")</f>
        <v/>
      </c>
    </row>
    <row r="73">
      <c r="A73" s="22" t="n">
        <v>43899</v>
      </c>
      <c r="B73" s="22" t="n">
        <v>43903</v>
      </c>
      <c r="C73">
        <f>TEXT(A73,"yyyy-mm")</f>
        <v/>
      </c>
      <c r="D73" s="20" t="n">
        <v>1.68554</v>
      </c>
      <c r="E73" s="20" t="n">
        <v>1.740496</v>
      </c>
      <c r="F73" s="20" t="n">
        <v>1.702684</v>
      </c>
      <c r="G73" s="20" t="n">
        <v>1.7289</v>
      </c>
      <c r="H73" s="20" t="n">
        <v>1.784996</v>
      </c>
      <c r="I73" s="20" t="n">
        <v>1.774922</v>
      </c>
      <c r="J73" s="20" t="n">
        <v>1.77033</v>
      </c>
      <c r="K73" s="20" t="n">
        <v>1.758946</v>
      </c>
      <c r="L73" s="20" t="n">
        <v>1.850452</v>
      </c>
      <c r="M73" s="20" t="n">
        <v>1.857488</v>
      </c>
      <c r="N73" s="20" t="n">
        <v>1.793642</v>
      </c>
      <c r="O73" s="20" t="n">
        <v>1.811058</v>
      </c>
      <c r="P73" s="20" t="n">
        <v>1.818458</v>
      </c>
      <c r="Q73" s="20" t="n">
        <v>1.816218</v>
      </c>
      <c r="R73" s="20" t="n">
        <v>1.793486</v>
      </c>
      <c r="S73" s="20" t="n">
        <v>1.78968</v>
      </c>
      <c r="T73" s="23">
        <f>IFERROR(AVERAGE(D73:S73),"")</f>
        <v/>
      </c>
    </row>
    <row r="74">
      <c r="A74" s="22" t="n">
        <v>43906</v>
      </c>
      <c r="B74" s="22" t="n">
        <v>43910</v>
      </c>
      <c r="C74">
        <f>TEXT(A74,"yyyy-mm")</f>
        <v/>
      </c>
      <c r="D74" s="20" t="n">
        <v>1.516544</v>
      </c>
      <c r="E74" s="20" t="n">
        <v>1.567302</v>
      </c>
      <c r="F74" s="20" t="n">
        <v>1.530582</v>
      </c>
      <c r="G74" s="20" t="n">
        <v>1.555648</v>
      </c>
      <c r="H74" s="20" t="n">
        <v>1.61015</v>
      </c>
      <c r="I74" s="20" t="n">
        <v>1.600084</v>
      </c>
      <c r="J74" s="20" t="n">
        <v>1.595244</v>
      </c>
      <c r="K74" s="20" t="n">
        <v>1.586842</v>
      </c>
      <c r="L74" s="20" t="n">
        <v>1.67561</v>
      </c>
      <c r="M74" s="20" t="n">
        <v>1.68264</v>
      </c>
      <c r="N74" s="20" t="n">
        <v>1.618796</v>
      </c>
      <c r="O74" s="20" t="n">
        <v>1.63621</v>
      </c>
      <c r="P74" s="20" t="n">
        <v>1.64361</v>
      </c>
      <c r="Q74" s="20" t="n">
        <v>1.64137</v>
      </c>
      <c r="R74" s="20" t="n">
        <v>1.61865</v>
      </c>
      <c r="S74" s="20" t="n">
        <v>1.614594</v>
      </c>
      <c r="T74" s="23">
        <f>IFERROR(AVERAGE(D74:S74),"")</f>
        <v/>
      </c>
    </row>
    <row r="75">
      <c r="A75" s="22" t="n">
        <v>43913</v>
      </c>
      <c r="B75" s="22" t="n">
        <v>43917</v>
      </c>
      <c r="C75">
        <f>TEXT(A75,"yyyy-mm")</f>
        <v/>
      </c>
      <c r="D75" s="20" t="n">
        <v>1.489566</v>
      </c>
      <c r="E75" s="20" t="n">
        <v>1.529124</v>
      </c>
      <c r="F75" s="20" t="n">
        <v>1.496796</v>
      </c>
      <c r="G75" s="20" t="n">
        <v>1.517262</v>
      </c>
      <c r="H75" s="20" t="n">
        <v>1.565492</v>
      </c>
      <c r="I75" s="20" t="n">
        <v>1.555298</v>
      </c>
      <c r="J75" s="20" t="n">
        <v>1.549818</v>
      </c>
      <c r="K75" s="20" t="n">
        <v>1.553058</v>
      </c>
      <c r="L75" s="20" t="n">
        <v>1.630952</v>
      </c>
      <c r="M75" s="20" t="n">
        <v>1.637986</v>
      </c>
      <c r="N75" s="20" t="n">
        <v>1.574142</v>
      </c>
      <c r="O75" s="20" t="n">
        <v>1.591556</v>
      </c>
      <c r="P75" s="20" t="n">
        <v>1.598956</v>
      </c>
      <c r="Q75" s="20" t="n">
        <v>1.596716</v>
      </c>
      <c r="R75" s="20" t="n">
        <v>1.573866</v>
      </c>
      <c r="S75" s="20" t="n">
        <v>1.56917</v>
      </c>
      <c r="T75" s="23">
        <f>IFERROR(AVERAGE(D75:S75),"")</f>
        <v/>
      </c>
    </row>
    <row r="76">
      <c r="A76" s="22" t="n">
        <v>43920</v>
      </c>
      <c r="B76" s="22" t="n">
        <v>43924</v>
      </c>
      <c r="C76">
        <f>TEXT(A76,"yyyy-mm")</f>
        <v/>
      </c>
      <c r="D76" s="20" t="n">
        <v>1.461264</v>
      </c>
      <c r="E76" s="20" t="n">
        <v>1.49836</v>
      </c>
      <c r="F76" s="20" t="n">
        <v>1.466672</v>
      </c>
      <c r="G76" s="20" t="n">
        <v>1.486452</v>
      </c>
      <c r="H76" s="20" t="n">
        <v>1.533728</v>
      </c>
      <c r="I76" s="20" t="n">
        <v>1.523564</v>
      </c>
      <c r="J76" s="20" t="n">
        <v>1.517882</v>
      </c>
      <c r="K76" s="20" t="n">
        <v>1.522932</v>
      </c>
      <c r="L76" s="20" t="n">
        <v>1.599186</v>
      </c>
      <c r="M76" s="20" t="n">
        <v>1.606222</v>
      </c>
      <c r="N76" s="20" t="n">
        <v>1.542376</v>
      </c>
      <c r="O76" s="20" t="n">
        <v>1.559792</v>
      </c>
      <c r="P76" s="20" t="n">
        <v>1.567192</v>
      </c>
      <c r="Q76" s="20" t="n">
        <v>1.564952</v>
      </c>
      <c r="R76" s="20" t="n">
        <v>1.542134</v>
      </c>
      <c r="S76" s="20" t="n">
        <v>1.537232</v>
      </c>
      <c r="T76" s="23">
        <f>IFERROR(AVERAGE(D76:S76),"")</f>
        <v/>
      </c>
    </row>
    <row r="77">
      <c r="A77" s="22" t="n">
        <v>43927</v>
      </c>
      <c r="B77" s="22" t="n">
        <v>43930</v>
      </c>
      <c r="C77">
        <f>TEXT(A77,"yyyy-mm")</f>
        <v/>
      </c>
      <c r="D77" s="20" t="n">
        <v>1.430303</v>
      </c>
      <c r="E77" s="20" t="n">
        <v>1.466935</v>
      </c>
      <c r="F77" s="20" t="n">
        <v>1.435535</v>
      </c>
      <c r="G77" s="20" t="n">
        <v>1.45503</v>
      </c>
      <c r="H77" s="20" t="n">
        <v>1.501935</v>
      </c>
      <c r="I77" s="20" t="n">
        <v>1.49171</v>
      </c>
      <c r="J77" s="20" t="n">
        <v>1.486108</v>
      </c>
      <c r="K77" s="20" t="n">
        <v>1.491795</v>
      </c>
      <c r="L77" s="20" t="n">
        <v>1.567393</v>
      </c>
      <c r="M77" s="20" t="n">
        <v>1.57443</v>
      </c>
      <c r="N77" s="20" t="n">
        <v>1.510583</v>
      </c>
      <c r="O77" s="20" t="n">
        <v>1.528</v>
      </c>
      <c r="P77" s="20" t="n">
        <v>1.5354</v>
      </c>
      <c r="Q77" s="20" t="n">
        <v>1.53316</v>
      </c>
      <c r="R77" s="20" t="n">
        <v>1.510278</v>
      </c>
      <c r="S77" s="20" t="n">
        <v>1.505458</v>
      </c>
      <c r="T77" s="23">
        <f>IFERROR(AVERAGE(D77:S77),"")</f>
        <v/>
      </c>
    </row>
    <row r="78">
      <c r="A78" s="22" t="n">
        <v>43934</v>
      </c>
      <c r="B78" s="22" t="n">
        <v>43938</v>
      </c>
      <c r="C78">
        <f>TEXT(A78,"yyyy-mm")</f>
        <v/>
      </c>
      <c r="D78" s="20" t="n">
        <v>1.363</v>
      </c>
      <c r="E78" s="20" t="n">
        <v>1.406404</v>
      </c>
      <c r="F78" s="20" t="n">
        <v>1.372242</v>
      </c>
      <c r="G78" s="20" t="n">
        <v>1.394686</v>
      </c>
      <c r="H78" s="20" t="n">
        <v>1.445692</v>
      </c>
      <c r="I78" s="20" t="n">
        <v>1.435366</v>
      </c>
      <c r="J78" s="20" t="n">
        <v>1.430572</v>
      </c>
      <c r="K78" s="20" t="n">
        <v>1.428502</v>
      </c>
      <c r="L78" s="20" t="n">
        <v>1.51115</v>
      </c>
      <c r="M78" s="20" t="n">
        <v>1.518184</v>
      </c>
      <c r="N78" s="20" t="n">
        <v>1.45434</v>
      </c>
      <c r="O78" s="20" t="n">
        <v>1.471754</v>
      </c>
      <c r="P78" s="20" t="n">
        <v>1.479154</v>
      </c>
      <c r="Q78" s="20" t="n">
        <v>1.476914</v>
      </c>
      <c r="R78" s="20" t="n">
        <v>1.453934</v>
      </c>
      <c r="S78" s="20" t="n">
        <v>1.449924</v>
      </c>
      <c r="T78" s="23">
        <f>IFERROR(AVERAGE(D78:S78),"")</f>
        <v/>
      </c>
    </row>
    <row r="79">
      <c r="A79" s="22" t="n">
        <v>43941</v>
      </c>
      <c r="B79" s="22" t="n">
        <v>43945</v>
      </c>
      <c r="C79">
        <f>TEXT(A79,"yyyy-mm")</f>
        <v/>
      </c>
      <c r="D79" s="20" t="n">
        <v>1.305384</v>
      </c>
      <c r="E79" s="20" t="n">
        <v>1.400852</v>
      </c>
      <c r="F79" s="20" t="n">
        <v>1.346006</v>
      </c>
      <c r="G79" s="20" t="n">
        <v>1.390034</v>
      </c>
      <c r="H79" s="20" t="n">
        <v>1.470404</v>
      </c>
      <c r="I79" s="20" t="n">
        <v>1.460874</v>
      </c>
      <c r="J79" s="20" t="n">
        <v>1.458648</v>
      </c>
      <c r="K79" s="20" t="n">
        <v>1.402266</v>
      </c>
      <c r="L79" s="20" t="n">
        <v>1.53586</v>
      </c>
      <c r="M79" s="20" t="n">
        <v>1.542894</v>
      </c>
      <c r="N79" s="20" t="n">
        <v>1.479046</v>
      </c>
      <c r="O79" s="20" t="n">
        <v>1.496464</v>
      </c>
      <c r="P79" s="20" t="n">
        <v>1.503864</v>
      </c>
      <c r="Q79" s="20" t="n">
        <v>1.501624</v>
      </c>
      <c r="R79" s="20" t="n">
        <v>1.479438</v>
      </c>
      <c r="S79" s="20" t="n">
        <v>1.477998</v>
      </c>
      <c r="T79" s="23">
        <f>IFERROR(AVERAGE(D79:S79),"")</f>
        <v/>
      </c>
    </row>
    <row r="80">
      <c r="A80" s="22" t="n">
        <v>43948</v>
      </c>
      <c r="B80" s="22" t="n">
        <v>43952</v>
      </c>
      <c r="C80">
        <f>TEXT(A80,"yyyy-mm")</f>
        <v/>
      </c>
      <c r="D80" s="20" t="n">
        <v>1.162074</v>
      </c>
      <c r="E80" s="20" t="n">
        <v>1.272148</v>
      </c>
      <c r="F80" s="20" t="n">
        <v>1.211368</v>
      </c>
      <c r="G80" s="20" t="n">
        <v>1.26181</v>
      </c>
      <c r="H80" s="20" t="n">
        <v>1.351188</v>
      </c>
      <c r="I80" s="20" t="n">
        <v>1.341192</v>
      </c>
      <c r="J80" s="20" t="n">
        <v>1.341272</v>
      </c>
      <c r="K80" s="20" t="n">
        <v>1.289182</v>
      </c>
      <c r="L80" s="20" t="n">
        <v>1.441858</v>
      </c>
      <c r="M80" s="20" t="n">
        <v>1.4519</v>
      </c>
      <c r="N80" s="20" t="n">
        <v>1.36542</v>
      </c>
      <c r="O80" s="20" t="n">
        <v>1.383038</v>
      </c>
      <c r="P80" s="20" t="n">
        <v>1.397978</v>
      </c>
      <c r="Q80" s="20" t="n">
        <v>1.3933</v>
      </c>
      <c r="R80" s="20" t="n">
        <v>1.368686</v>
      </c>
      <c r="S80" s="20" t="n">
        <v>1.36935</v>
      </c>
      <c r="T80" s="23">
        <f>IFERROR(AVERAGE(D80:S80),"")</f>
        <v/>
      </c>
    </row>
    <row r="81">
      <c r="A81" s="22" t="n">
        <v>43955</v>
      </c>
      <c r="B81" s="22" t="n">
        <v>43959</v>
      </c>
      <c r="C81">
        <f>TEXT(A81,"yyyy-mm")</f>
        <v/>
      </c>
      <c r="D81" s="20" t="n">
        <v>1.30263</v>
      </c>
      <c r="E81" s="20" t="n">
        <v>1.367626</v>
      </c>
      <c r="F81" s="20" t="n">
        <v>1.32424</v>
      </c>
      <c r="G81" s="20" t="n">
        <v>1.356334</v>
      </c>
      <c r="H81" s="20" t="n">
        <v>1.420494</v>
      </c>
      <c r="I81" s="20" t="n">
        <v>1.410452</v>
      </c>
      <c r="J81" s="20" t="n">
        <v>1.40696</v>
      </c>
      <c r="K81" s="20" t="n">
        <v>1.493998</v>
      </c>
      <c r="L81" s="20" t="n">
        <v>1.618702</v>
      </c>
      <c r="M81" s="20" t="n">
        <v>1.641518</v>
      </c>
      <c r="N81" s="20" t="n">
        <v>1.458342</v>
      </c>
      <c r="O81" s="20" t="n">
        <v>1.47742</v>
      </c>
      <c r="P81" s="20" t="n">
        <v>1.524092</v>
      </c>
      <c r="Q81" s="20" t="n">
        <v>1.509156</v>
      </c>
      <c r="R81" s="20" t="n">
        <v>1.475856</v>
      </c>
      <c r="S81" s="20" t="n">
        <v>1.472134</v>
      </c>
      <c r="T81" s="23">
        <f>IFERROR(AVERAGE(D81:S81),"")</f>
        <v/>
      </c>
    </row>
    <row r="82">
      <c r="A82" s="22" t="n">
        <v>43962</v>
      </c>
      <c r="B82" s="22" t="n">
        <v>43966</v>
      </c>
      <c r="C82">
        <f>TEXT(A82,"yyyy-mm")</f>
        <v/>
      </c>
      <c r="D82" s="20" t="n">
        <v>1.371944</v>
      </c>
      <c r="E82" s="20" t="n">
        <v>1.413704</v>
      </c>
      <c r="F82" s="20" t="n">
        <v>1.379096</v>
      </c>
      <c r="G82" s="20" t="n">
        <v>1.401974</v>
      </c>
      <c r="H82" s="20" t="n">
        <v>1.45353</v>
      </c>
      <c r="I82" s="20" t="n">
        <v>1.44333</v>
      </c>
      <c r="J82" s="20" t="n">
        <v>1.43835</v>
      </c>
      <c r="K82" s="20" t="n">
        <v>1.554402</v>
      </c>
      <c r="L82" s="20" t="n">
        <v>1.658222</v>
      </c>
      <c r="M82" s="20" t="n">
        <v>1.681786</v>
      </c>
      <c r="N82" s="20" t="n">
        <v>1.492618</v>
      </c>
      <c r="O82" s="20" t="n">
        <v>1.512322</v>
      </c>
      <c r="P82" s="20" t="n">
        <v>1.560518</v>
      </c>
      <c r="Q82" s="20" t="n">
        <v>1.545096</v>
      </c>
      <c r="R82" s="20" t="n">
        <v>1.510874</v>
      </c>
      <c r="S82" s="20" t="n">
        <v>1.505656</v>
      </c>
      <c r="T82" s="23">
        <f>IFERROR(AVERAGE(D82:S82),"")</f>
        <v/>
      </c>
    </row>
    <row r="83">
      <c r="A83" s="22" t="n">
        <v>43969</v>
      </c>
      <c r="B83" s="22" t="n">
        <v>43973</v>
      </c>
      <c r="C83">
        <f>TEXT(A83,"yyyy-mm")</f>
        <v/>
      </c>
      <c r="D83" s="20" t="n">
        <v>1.494306</v>
      </c>
      <c r="E83" s="20" t="n">
        <v>1.531154</v>
      </c>
      <c r="F83" s="20" t="n">
        <v>1.49882</v>
      </c>
      <c r="G83" s="20" t="n">
        <v>1.5205</v>
      </c>
      <c r="H83" s="20" t="n">
        <v>1.571176</v>
      </c>
      <c r="I83" s="20" t="n">
        <v>1.5597</v>
      </c>
      <c r="J83" s="20" t="n">
        <v>1.557982</v>
      </c>
      <c r="K83" s="20" t="n">
        <v>1.667822</v>
      </c>
      <c r="L83" s="20" t="n">
        <v>1.768506</v>
      </c>
      <c r="M83" s="20" t="n">
        <v>1.791222</v>
      </c>
      <c r="N83" s="20" t="n">
        <v>1.608856</v>
      </c>
      <c r="O83" s="20" t="n">
        <v>1.627848</v>
      </c>
      <c r="P83" s="20" t="n">
        <v>1.674314</v>
      </c>
      <c r="Q83" s="20" t="n">
        <v>1.659446</v>
      </c>
      <c r="R83" s="20" t="n">
        <v>1.624816</v>
      </c>
      <c r="S83" s="20" t="n">
        <v>1.622868</v>
      </c>
      <c r="T83" s="23">
        <f>IFERROR(AVERAGE(D83:S83),"")</f>
        <v/>
      </c>
    </row>
    <row r="84">
      <c r="A84" s="22" t="n">
        <v>43976</v>
      </c>
      <c r="B84" s="22" t="n">
        <v>43980</v>
      </c>
      <c r="C84">
        <f>TEXT(A84,"yyyy-mm")</f>
        <v/>
      </c>
      <c r="D84" s="20" t="n">
        <v>1.44746</v>
      </c>
      <c r="E84" s="20" t="n">
        <v>1.485955</v>
      </c>
      <c r="F84" s="20" t="n">
        <v>1.453543</v>
      </c>
      <c r="G84" s="20" t="n">
        <v>1.475288</v>
      </c>
      <c r="H84" s="20" t="n">
        <v>1.52604</v>
      </c>
      <c r="I84" s="20" t="n">
        <v>1.514608</v>
      </c>
      <c r="J84" s="20" t="n">
        <v>1.512813</v>
      </c>
      <c r="K84" s="20" t="n">
        <v>1.613005</v>
      </c>
      <c r="L84" s="20" t="n">
        <v>1.712238</v>
      </c>
      <c r="M84" s="20" t="n">
        <v>1.733673</v>
      </c>
      <c r="N84" s="20" t="n">
        <v>1.5616</v>
      </c>
      <c r="O84" s="20" t="n">
        <v>1.57952</v>
      </c>
      <c r="P84" s="20" t="n">
        <v>1.623363</v>
      </c>
      <c r="Q84" s="20" t="n">
        <v>1.609335</v>
      </c>
      <c r="R84" s="20" t="n">
        <v>1.576048</v>
      </c>
      <c r="S84" s="20" t="n">
        <v>1.57404</v>
      </c>
      <c r="T84" s="23">
        <f>IFERROR(AVERAGE(D84:S84),"")</f>
        <v/>
      </c>
    </row>
    <row r="85">
      <c r="A85" s="22" t="n">
        <v>43983</v>
      </c>
      <c r="B85" s="22" t="n">
        <v>43987</v>
      </c>
      <c r="C85">
        <f>TEXT(A85,"yyyy-mm")</f>
        <v/>
      </c>
      <c r="D85" s="20" t="n">
        <v>1.44962</v>
      </c>
      <c r="E85" s="20" t="n">
        <v>1.488088</v>
      </c>
      <c r="F85" s="20" t="n">
        <v>1.456008</v>
      </c>
      <c r="G85" s="20" t="n">
        <v>1.477382</v>
      </c>
      <c r="H85" s="20" t="n">
        <v>1.527608</v>
      </c>
      <c r="I85" s="20" t="n">
        <v>1.516194</v>
      </c>
      <c r="J85" s="20" t="n">
        <v>1.514274</v>
      </c>
      <c r="K85" s="20" t="n">
        <v>1.60995</v>
      </c>
      <c r="L85" s="20" t="n">
        <v>1.707356</v>
      </c>
      <c r="M85" s="20" t="n">
        <v>1.728048</v>
      </c>
      <c r="N85" s="20" t="n">
        <v>1.561934</v>
      </c>
      <c r="O85" s="20" t="n">
        <v>1.579234</v>
      </c>
      <c r="P85" s="20" t="n">
        <v>1.621556</v>
      </c>
      <c r="Q85" s="20" t="n">
        <v>1.608016</v>
      </c>
      <c r="R85" s="20" t="n">
        <v>1.575508</v>
      </c>
      <c r="S85" s="20" t="n">
        <v>1.573376</v>
      </c>
      <c r="T85" s="23">
        <f>IFERROR(AVERAGE(D85:S85),"")</f>
        <v/>
      </c>
    </row>
    <row r="86">
      <c r="A86" s="22" t="n">
        <v>43990</v>
      </c>
      <c r="B86" s="22" t="n">
        <v>43994</v>
      </c>
      <c r="C86">
        <f>TEXT(A86,"yyyy-mm")</f>
        <v/>
      </c>
      <c r="D86" s="20" t="n">
        <v>1.514302</v>
      </c>
      <c r="E86" s="20" t="n">
        <v>1.548838</v>
      </c>
      <c r="F86" s="20" t="n">
        <v>1.51865</v>
      </c>
      <c r="G86" s="20" t="n">
        <v>1.537976</v>
      </c>
      <c r="H86" s="20" t="n">
        <v>1.585364</v>
      </c>
      <c r="I86" s="20" t="n">
        <v>1.573946</v>
      </c>
      <c r="J86" s="20" t="n">
        <v>1.571574</v>
      </c>
      <c r="K86" s="20" t="n">
        <v>1.666382</v>
      </c>
      <c r="L86" s="20" t="n">
        <v>1.757856</v>
      </c>
      <c r="M86" s="20" t="n">
        <v>1.777716</v>
      </c>
      <c r="N86" s="20" t="n">
        <v>1.618302</v>
      </c>
      <c r="O86" s="20" t="n">
        <v>1.634906</v>
      </c>
      <c r="P86" s="20" t="n">
        <v>1.675524</v>
      </c>
      <c r="Q86" s="20" t="n">
        <v>1.662524</v>
      </c>
      <c r="R86" s="20" t="n">
        <v>1.630866</v>
      </c>
      <c r="S86" s="20" t="n">
        <v>1.62829</v>
      </c>
      <c r="T86" s="23">
        <f>IFERROR(AVERAGE(D86:S86),"")</f>
        <v/>
      </c>
    </row>
    <row r="87">
      <c r="A87" s="22" t="n">
        <v>43997</v>
      </c>
      <c r="B87" s="22" t="n">
        <v>44001</v>
      </c>
      <c r="C87">
        <f>TEXT(A87,"yyyy-mm")</f>
        <v/>
      </c>
      <c r="D87" s="20" t="n">
        <v>1.647518</v>
      </c>
      <c r="E87" s="20" t="n">
        <v>1.67489</v>
      </c>
      <c r="F87" s="20" t="n">
        <v>1.646934</v>
      </c>
      <c r="G87" s="20" t="n">
        <v>1.663988</v>
      </c>
      <c r="H87" s="20" t="n">
        <v>1.708392</v>
      </c>
      <c r="I87" s="20" t="n">
        <v>1.696654</v>
      </c>
      <c r="J87" s="20" t="n">
        <v>1.69452</v>
      </c>
      <c r="K87" s="20" t="n">
        <v>1.803434</v>
      </c>
      <c r="L87" s="20" t="n">
        <v>1.891124</v>
      </c>
      <c r="M87" s="20" t="n">
        <v>1.91216</v>
      </c>
      <c r="N87" s="20" t="n">
        <v>1.743286</v>
      </c>
      <c r="O87" s="20" t="n">
        <v>1.760874</v>
      </c>
      <c r="P87" s="20" t="n">
        <v>1.803902</v>
      </c>
      <c r="Q87" s="20" t="n">
        <v>1.790134</v>
      </c>
      <c r="R87" s="20" t="n">
        <v>1.756952</v>
      </c>
      <c r="S87" s="20" t="n">
        <v>1.754604</v>
      </c>
      <c r="T87" s="23">
        <f>IFERROR(AVERAGE(D87:S87),"")</f>
        <v/>
      </c>
    </row>
    <row r="88">
      <c r="A88" s="22" t="n">
        <v>44004</v>
      </c>
      <c r="B88" s="22" t="n">
        <v>44008</v>
      </c>
      <c r="C88">
        <f>TEXT(A88,"yyyy-mm")</f>
        <v/>
      </c>
      <c r="D88" s="20" t="n">
        <v>1.71106</v>
      </c>
      <c r="E88" s="20" t="n">
        <v>1.735802</v>
      </c>
      <c r="F88" s="20" t="n">
        <v>1.708732</v>
      </c>
      <c r="G88" s="20" t="n">
        <v>1.724906</v>
      </c>
      <c r="H88" s="20" t="n">
        <v>1.768158</v>
      </c>
      <c r="I88" s="20" t="n">
        <v>1.756258</v>
      </c>
      <c r="J88" s="20" t="n">
        <v>1.75431</v>
      </c>
      <c r="K88" s="20" t="n">
        <v>1.867176</v>
      </c>
      <c r="L88" s="20" t="n">
        <v>1.953162</v>
      </c>
      <c r="M88" s="20" t="n">
        <v>1.974462</v>
      </c>
      <c r="N88" s="20" t="n">
        <v>1.803486</v>
      </c>
      <c r="O88" s="20" t="n">
        <v>1.821294</v>
      </c>
      <c r="P88" s="20" t="n">
        <v>1.864856</v>
      </c>
      <c r="Q88" s="20" t="n">
        <v>1.850916</v>
      </c>
      <c r="R88" s="20" t="n">
        <v>1.817304</v>
      </c>
      <c r="S88" s="20" t="n">
        <v>1.815142</v>
      </c>
      <c r="T88" s="23">
        <f>IFERROR(AVERAGE(D88:S88),"")</f>
        <v/>
      </c>
    </row>
    <row r="89">
      <c r="A89" s="22" t="n">
        <v>44011</v>
      </c>
      <c r="B89" s="22" t="n">
        <v>44014</v>
      </c>
      <c r="C89">
        <f>TEXT(A89,"yyyy-mm")</f>
        <v/>
      </c>
      <c r="D89" s="20" t="n">
        <v>1.72187</v>
      </c>
      <c r="E89" s="20" t="n">
        <v>1.75029</v>
      </c>
      <c r="F89" s="20" t="n">
        <v>1.721635</v>
      </c>
      <c r="G89" s="20" t="n">
        <v>1.739553</v>
      </c>
      <c r="H89" s="20" t="n">
        <v>1.785245</v>
      </c>
      <c r="I89" s="20" t="n">
        <v>1.773288</v>
      </c>
      <c r="J89" s="20" t="n">
        <v>1.771855</v>
      </c>
      <c r="K89" s="20" t="n">
        <v>1.882513</v>
      </c>
      <c r="L89" s="20" t="n">
        <v>1.973085</v>
      </c>
      <c r="M89" s="20" t="n">
        <v>1.99471</v>
      </c>
      <c r="N89" s="20" t="n">
        <v>1.821113</v>
      </c>
      <c r="O89" s="20" t="n">
        <v>1.839198</v>
      </c>
      <c r="P89" s="20" t="n">
        <v>1.883423</v>
      </c>
      <c r="Q89" s="20" t="n">
        <v>1.86927</v>
      </c>
      <c r="R89" s="20" t="n">
        <v>1.835273</v>
      </c>
      <c r="S89" s="20" t="n">
        <v>1.83362</v>
      </c>
      <c r="T89" s="23">
        <f>IFERROR(AVERAGE(D89:S89),"")</f>
        <v/>
      </c>
    </row>
    <row r="90">
      <c r="A90" s="22" t="n">
        <v>44018</v>
      </c>
      <c r="B90" s="22" t="n">
        <v>44022</v>
      </c>
      <c r="C90">
        <f>TEXT(A90,"yyyy-mm")</f>
        <v/>
      </c>
      <c r="D90" s="20" t="n">
        <v>1.79487</v>
      </c>
      <c r="E90" s="20" t="n">
        <v>1.825056</v>
      </c>
      <c r="F90" s="20" t="n">
        <v>1.795812</v>
      </c>
      <c r="G90" s="20" t="n">
        <v>1.814262</v>
      </c>
      <c r="H90" s="20" t="n">
        <v>1.860584</v>
      </c>
      <c r="I90" s="20" t="n">
        <v>1.848858</v>
      </c>
      <c r="J90" s="20" t="n">
        <v>1.847012</v>
      </c>
      <c r="K90" s="20" t="n">
        <v>1.955652</v>
      </c>
      <c r="L90" s="20" t="n">
        <v>2.04722</v>
      </c>
      <c r="M90" s="20" t="n">
        <v>2.068706</v>
      </c>
      <c r="N90" s="20" t="n">
        <v>1.896222</v>
      </c>
      <c r="O90" s="20" t="n">
        <v>1.914186</v>
      </c>
      <c r="P90" s="20" t="n">
        <v>1.958136</v>
      </c>
      <c r="Q90" s="20" t="n">
        <v>1.944074</v>
      </c>
      <c r="R90" s="20" t="n">
        <v>1.910444</v>
      </c>
      <c r="S90" s="20" t="n">
        <v>1.908378</v>
      </c>
      <c r="T90" s="23">
        <f>IFERROR(AVERAGE(D90:S90),"")</f>
        <v/>
      </c>
    </row>
    <row r="91">
      <c r="A91" s="22" t="n">
        <v>44025</v>
      </c>
      <c r="B91" s="22" t="n">
        <v>44029</v>
      </c>
      <c r="C91">
        <f>TEXT(A91,"yyyy-mm")</f>
        <v/>
      </c>
      <c r="D91" s="20" t="n">
        <v>1.822192</v>
      </c>
      <c r="E91" s="20" t="n">
        <v>1.868116</v>
      </c>
      <c r="F91" s="20" t="n">
        <v>1.832878</v>
      </c>
      <c r="G91" s="20" t="n">
        <v>1.85737</v>
      </c>
      <c r="H91" s="20" t="n">
        <v>1.911618</v>
      </c>
      <c r="I91" s="20" t="n">
        <v>1.900846</v>
      </c>
      <c r="J91" s="20" t="n">
        <v>1.898118</v>
      </c>
      <c r="K91" s="20" t="n">
        <v>1.992872</v>
      </c>
      <c r="L91" s="20" t="n">
        <v>2.098432</v>
      </c>
      <c r="M91" s="20" t="n">
        <v>2.11994</v>
      </c>
      <c r="N91" s="20" t="n">
        <v>1.947292</v>
      </c>
      <c r="O91" s="20" t="n">
        <v>1.965274</v>
      </c>
      <c r="P91" s="20" t="n">
        <v>2.00926</v>
      </c>
      <c r="Q91" s="20" t="n">
        <v>1.995186</v>
      </c>
      <c r="R91" s="20" t="n">
        <v>1.962492</v>
      </c>
      <c r="S91" s="20" t="n">
        <v>1.959546</v>
      </c>
      <c r="T91" s="23">
        <f>IFERROR(AVERAGE(D91:S91),"")</f>
        <v/>
      </c>
    </row>
    <row r="92">
      <c r="A92" s="22" t="n">
        <v>44032</v>
      </c>
      <c r="B92" s="22" t="n">
        <v>44036</v>
      </c>
      <c r="C92">
        <f>TEXT(A92,"yyyy-mm")</f>
        <v/>
      </c>
      <c r="D92" s="20" t="n">
        <v>1.81737</v>
      </c>
      <c r="E92" s="20" t="n">
        <v>1.867952</v>
      </c>
      <c r="F92" s="20" t="n">
        <v>1.831118</v>
      </c>
      <c r="G92" s="20" t="n">
        <v>1.85752</v>
      </c>
      <c r="H92" s="20" t="n">
        <v>1.91458</v>
      </c>
      <c r="I92" s="20" t="n">
        <v>1.90344</v>
      </c>
      <c r="J92" s="20" t="n">
        <v>1.902002</v>
      </c>
      <c r="K92" s="20" t="n">
        <v>1.98637</v>
      </c>
      <c r="L92" s="20" t="n">
        <v>2.095852</v>
      </c>
      <c r="M92" s="20" t="n">
        <v>2.116724</v>
      </c>
      <c r="N92" s="20" t="n">
        <v>1.949194</v>
      </c>
      <c r="O92" s="20" t="n">
        <v>1.966644</v>
      </c>
      <c r="P92" s="20" t="n">
        <v>2.009326</v>
      </c>
      <c r="Q92" s="20" t="n">
        <v>1.99567</v>
      </c>
      <c r="R92" s="20" t="n">
        <v>1.963258</v>
      </c>
      <c r="S92" s="20" t="n">
        <v>1.961608</v>
      </c>
      <c r="T92" s="23">
        <f>IFERROR(AVERAGE(D92:S92),"")</f>
        <v/>
      </c>
    </row>
    <row r="93">
      <c r="A93" s="22" t="n">
        <v>44039</v>
      </c>
      <c r="B93" s="22" t="n">
        <v>44043</v>
      </c>
      <c r="C93">
        <f>TEXT(A93,"yyyy-mm")</f>
        <v/>
      </c>
      <c r="D93" s="20" t="n">
        <v>1.778934</v>
      </c>
      <c r="E93" s="20" t="n">
        <v>1.821542</v>
      </c>
      <c r="F93" s="20" t="n">
        <v>1.787834</v>
      </c>
      <c r="G93" s="20" t="n">
        <v>1.810938</v>
      </c>
      <c r="H93" s="20" t="n">
        <v>1.863518</v>
      </c>
      <c r="I93" s="20" t="n">
        <v>1.852184</v>
      </c>
      <c r="J93" s="20" t="n">
        <v>1.85046</v>
      </c>
      <c r="K93" s="20" t="n">
        <v>1.942242</v>
      </c>
      <c r="L93" s="20" t="n">
        <v>2.043808</v>
      </c>
      <c r="M93" s="20" t="n">
        <v>2.064566</v>
      </c>
      <c r="N93" s="20" t="n">
        <v>1.897946</v>
      </c>
      <c r="O93" s="20" t="n">
        <v>1.9153</v>
      </c>
      <c r="P93" s="20" t="n">
        <v>1.957754</v>
      </c>
      <c r="Q93" s="20" t="n">
        <v>1.944168</v>
      </c>
      <c r="R93" s="20" t="n">
        <v>1.911678</v>
      </c>
      <c r="S93" s="20" t="n">
        <v>1.90974</v>
      </c>
      <c r="T93" s="23">
        <f>IFERROR(AVERAGE(D93:S93),"")</f>
        <v/>
      </c>
    </row>
    <row r="94">
      <c r="A94" s="22" t="n">
        <v>44046</v>
      </c>
      <c r="B94" s="22" t="n">
        <v>44050</v>
      </c>
      <c r="C94">
        <f>TEXT(A94,"yyyy-mm")</f>
        <v/>
      </c>
      <c r="D94" s="20" t="n">
        <v>1.81842</v>
      </c>
      <c r="E94" s="20" t="n">
        <v>1.857254</v>
      </c>
      <c r="F94" s="20" t="n">
        <v>1.824692</v>
      </c>
      <c r="G94" s="20" t="n">
        <v>1.846632</v>
      </c>
      <c r="H94" s="20" t="n">
        <v>1.897688</v>
      </c>
      <c r="I94" s="20" t="n">
        <v>1.886184</v>
      </c>
      <c r="J94" s="20" t="n">
        <v>1.884594</v>
      </c>
      <c r="K94" s="20" t="n">
        <v>1.984218</v>
      </c>
      <c r="L94" s="20" t="n">
        <v>2.083948</v>
      </c>
      <c r="M94" s="20" t="n">
        <v>2.105392</v>
      </c>
      <c r="N94" s="20" t="n">
        <v>1.933254</v>
      </c>
      <c r="O94" s="20" t="n">
        <v>1.951184</v>
      </c>
      <c r="P94" s="20" t="n">
        <v>1.995044</v>
      </c>
      <c r="Q94" s="20" t="n">
        <v>1.981008</v>
      </c>
      <c r="R94" s="20" t="n">
        <v>1.947646</v>
      </c>
      <c r="S94" s="20" t="n">
        <v>1.945842</v>
      </c>
      <c r="T94" s="23">
        <f>IFERROR(AVERAGE(D94:S94),"")</f>
        <v/>
      </c>
    </row>
    <row r="95">
      <c r="A95" s="22" t="n">
        <v>44053</v>
      </c>
      <c r="B95" s="22" t="n">
        <v>44057</v>
      </c>
      <c r="C95">
        <f>TEXT(A95,"yyyy-mm")</f>
        <v/>
      </c>
      <c r="D95" s="20" t="n">
        <v>1.86339</v>
      </c>
      <c r="E95" s="20" t="n">
        <v>1.909728</v>
      </c>
      <c r="F95" s="20" t="n">
        <v>1.874104</v>
      </c>
      <c r="G95" s="20" t="n">
        <v>1.899314</v>
      </c>
      <c r="H95" s="20" t="n">
        <v>1.954838</v>
      </c>
      <c r="I95" s="20" t="n">
        <v>1.943438</v>
      </c>
      <c r="J95" s="20" t="n">
        <v>1.942332</v>
      </c>
      <c r="K95" s="20" t="n">
        <v>2.036272</v>
      </c>
      <c r="L95" s="20" t="n">
        <v>2.144182</v>
      </c>
      <c r="M95" s="20" t="n">
        <v>2.165978</v>
      </c>
      <c r="N95" s="20" t="n">
        <v>1.990992</v>
      </c>
      <c r="O95" s="20" t="n">
        <v>2.009218</v>
      </c>
      <c r="P95" s="20" t="n">
        <v>2.053804</v>
      </c>
      <c r="Q95" s="20" t="n">
        <v>2.039538</v>
      </c>
      <c r="R95" s="20" t="n">
        <v>2.00592</v>
      </c>
      <c r="S95" s="20" t="n">
        <v>2.004592</v>
      </c>
      <c r="T95" s="23">
        <f>IFERROR(AVERAGE(D95:S95),"")</f>
        <v/>
      </c>
    </row>
    <row r="96">
      <c r="A96" s="22" t="n">
        <v>44060</v>
      </c>
      <c r="B96" s="22" t="n">
        <v>44064</v>
      </c>
      <c r="C96">
        <f>TEXT(A96,"yyyy-mm")</f>
        <v/>
      </c>
      <c r="D96" s="20" t="n">
        <v>1.908372</v>
      </c>
      <c r="E96" s="20" t="n">
        <v>1.957978</v>
      </c>
      <c r="F96" s="20" t="n">
        <v>1.920818</v>
      </c>
      <c r="G96" s="20" t="n">
        <v>1.947912</v>
      </c>
      <c r="H96" s="20" t="n">
        <v>2.006254</v>
      </c>
      <c r="I96" s="20" t="n">
        <v>1.9944</v>
      </c>
      <c r="J96" s="20" t="n">
        <v>1.99478</v>
      </c>
      <c r="K96" s="20" t="n">
        <v>2.086292</v>
      </c>
      <c r="L96" s="20" t="n">
        <v>2.199464</v>
      </c>
      <c r="M96" s="20" t="n">
        <v>2.221708</v>
      </c>
      <c r="N96" s="20" t="n">
        <v>2.043148</v>
      </c>
      <c r="O96" s="20" t="n">
        <v>2.061744</v>
      </c>
      <c r="P96" s="20" t="n">
        <v>2.10724</v>
      </c>
      <c r="Q96" s="20" t="n">
        <v>2.092684</v>
      </c>
      <c r="R96" s="20" t="n">
        <v>2.058156</v>
      </c>
      <c r="S96" s="20" t="n">
        <v>2.05831</v>
      </c>
      <c r="T96" s="23">
        <f>IFERROR(AVERAGE(D96:S96),"")</f>
        <v/>
      </c>
    </row>
    <row r="97">
      <c r="A97" s="22" t="n">
        <v>44067</v>
      </c>
      <c r="B97" s="22" t="n">
        <v>44071</v>
      </c>
      <c r="C97">
        <f>TEXT(A97,"yyyy-mm")</f>
        <v/>
      </c>
      <c r="D97" s="20" t="n">
        <v>1.896892</v>
      </c>
      <c r="E97" s="20" t="n">
        <v>1.93929</v>
      </c>
      <c r="F97" s="20" t="n">
        <v>1.904946</v>
      </c>
      <c r="G97" s="20" t="n">
        <v>1.928934</v>
      </c>
      <c r="H97" s="20" t="n">
        <v>1.982934</v>
      </c>
      <c r="I97" s="20" t="n">
        <v>1.97119</v>
      </c>
      <c r="J97" s="20" t="n">
        <v>1.97062</v>
      </c>
      <c r="K97" s="20" t="n">
        <v>2.070642</v>
      </c>
      <c r="L97" s="20" t="n">
        <v>2.176404</v>
      </c>
      <c r="M97" s="20" t="n">
        <v>2.198678</v>
      </c>
      <c r="N97" s="20" t="n">
        <v>2.019876</v>
      </c>
      <c r="O97" s="20" t="n">
        <v>2.038498</v>
      </c>
      <c r="P97" s="20" t="n">
        <v>2.084056</v>
      </c>
      <c r="Q97" s="20" t="n">
        <v>2.06948</v>
      </c>
      <c r="R97" s="20" t="n">
        <v>2.03503</v>
      </c>
      <c r="S97" s="20" t="n">
        <v>2.034234</v>
      </c>
      <c r="T97" s="23">
        <f>IFERROR(AVERAGE(D97:S97),"")</f>
        <v/>
      </c>
    </row>
    <row r="98">
      <c r="A98" s="22" t="n">
        <v>44074</v>
      </c>
      <c r="B98" s="22" t="n">
        <v>44078</v>
      </c>
      <c r="C98">
        <f>TEXT(A98,"yyyy-mm")</f>
        <v/>
      </c>
      <c r="D98" s="20" t="n">
        <v>1.759622</v>
      </c>
      <c r="E98" s="20" t="n">
        <v>1.79124</v>
      </c>
      <c r="F98" s="20" t="n">
        <v>1.761444</v>
      </c>
      <c r="G98" s="20" t="n">
        <v>1.780402</v>
      </c>
      <c r="H98" s="20" t="n">
        <v>1.827346</v>
      </c>
      <c r="I98" s="20" t="n">
        <v>1.8158</v>
      </c>
      <c r="J98" s="20" t="n">
        <v>1.81364</v>
      </c>
      <c r="K98" s="20" t="n">
        <v>1.92166</v>
      </c>
      <c r="L98" s="20" t="n">
        <v>2.014414</v>
      </c>
      <c r="M98" s="20" t="n">
        <v>2.03595</v>
      </c>
      <c r="N98" s="20" t="n">
        <v>1.863068</v>
      </c>
      <c r="O98" s="20" t="n">
        <v>1.881072</v>
      </c>
      <c r="P98" s="20" t="n">
        <v>1.92512</v>
      </c>
      <c r="Q98" s="20" t="n">
        <v>1.911026</v>
      </c>
      <c r="R98" s="20" t="n">
        <v>1.877532</v>
      </c>
      <c r="S98" s="20" t="n">
        <v>1.875152</v>
      </c>
      <c r="T98" s="23">
        <f>IFERROR(AVERAGE(D98:S98),"")</f>
        <v/>
      </c>
    </row>
    <row r="99">
      <c r="A99" s="22" t="n">
        <v>44081</v>
      </c>
      <c r="B99" s="22" t="n">
        <v>44085</v>
      </c>
      <c r="C99">
        <f>TEXT(A99,"yyyy-mm")</f>
        <v/>
      </c>
      <c r="D99" s="20" t="n">
        <v>1.59795</v>
      </c>
      <c r="E99" s="20" t="n">
        <v>1.623385</v>
      </c>
      <c r="F99" s="20" t="n">
        <v>1.59605</v>
      </c>
      <c r="G99" s="20" t="n">
        <v>1.612398</v>
      </c>
      <c r="H99" s="20" t="n">
        <v>1.655793</v>
      </c>
      <c r="I99" s="20" t="n">
        <v>1.64412</v>
      </c>
      <c r="J99" s="20" t="n">
        <v>1.64167</v>
      </c>
      <c r="K99" s="20" t="n">
        <v>1.755043</v>
      </c>
      <c r="L99" s="20" t="n">
        <v>1.841433</v>
      </c>
      <c r="M99" s="20" t="n">
        <v>1.862805</v>
      </c>
      <c r="N99" s="20" t="n">
        <v>1.69124</v>
      </c>
      <c r="O99" s="20" t="n">
        <v>1.709108</v>
      </c>
      <c r="P99" s="20" t="n">
        <v>1.752823</v>
      </c>
      <c r="Q99" s="20" t="n">
        <v>1.738838</v>
      </c>
      <c r="R99" s="20" t="n">
        <v>1.705378</v>
      </c>
      <c r="S99" s="20" t="n">
        <v>1.702713</v>
      </c>
      <c r="T99" s="23">
        <f>IFERROR(AVERAGE(D99:S99),"")</f>
        <v/>
      </c>
    </row>
    <row r="100">
      <c r="A100" s="22" t="n">
        <v>44088</v>
      </c>
      <c r="B100" s="22" t="n">
        <v>44092</v>
      </c>
      <c r="C100">
        <f>TEXT(A100,"yyyy-mm")</f>
        <v/>
      </c>
      <c r="D100" s="20" t="n">
        <v>1.576062</v>
      </c>
      <c r="E100" s="20" t="n">
        <v>1.596204</v>
      </c>
      <c r="F100" s="20" t="n">
        <v>1.570964</v>
      </c>
      <c r="G100" s="20" t="n">
        <v>1.585202</v>
      </c>
      <c r="H100" s="20" t="n">
        <v>1.625828</v>
      </c>
      <c r="I100" s="20" t="n">
        <v>1.613822</v>
      </c>
      <c r="J100" s="20" t="n">
        <v>1.611678</v>
      </c>
      <c r="K100" s="20" t="n">
        <v>1.72852</v>
      </c>
      <c r="L100" s="20" t="n">
        <v>1.809788</v>
      </c>
      <c r="M100" s="20" t="n">
        <v>1.830968</v>
      </c>
      <c r="N100" s="20" t="n">
        <v>1.660954</v>
      </c>
      <c r="O100" s="20" t="n">
        <v>1.678662</v>
      </c>
      <c r="P100" s="20" t="n">
        <v>1.721978</v>
      </c>
      <c r="Q100" s="20" t="n">
        <v>1.708118</v>
      </c>
      <c r="R100" s="20" t="n">
        <v>1.674528</v>
      </c>
      <c r="S100" s="20" t="n">
        <v>1.672168</v>
      </c>
      <c r="T100" s="23">
        <f>IFERROR(AVERAGE(D100:S100),"")</f>
        <v/>
      </c>
    </row>
    <row r="101">
      <c r="A101" s="22" t="n">
        <v>44095</v>
      </c>
      <c r="B101" s="22" t="n">
        <v>44099</v>
      </c>
      <c r="C101">
        <f>TEXT(A101,"yyyy-mm")</f>
        <v/>
      </c>
      <c r="D101" s="20" t="n">
        <v>1.652628</v>
      </c>
      <c r="E101" s="20" t="n">
        <v>1.672888</v>
      </c>
      <c r="F101" s="20" t="n">
        <v>1.647196</v>
      </c>
      <c r="G101" s="20" t="n">
        <v>1.66197</v>
      </c>
      <c r="H101" s="20" t="n">
        <v>1.703388</v>
      </c>
      <c r="I101" s="20" t="n">
        <v>1.691286</v>
      </c>
      <c r="J101" s="20" t="n">
        <v>1.689492</v>
      </c>
      <c r="K101" s="20" t="n">
        <v>1.811502</v>
      </c>
      <c r="L101" s="20" t="n">
        <v>1.895232</v>
      </c>
      <c r="M101" s="20" t="n">
        <v>1.917322</v>
      </c>
      <c r="N101" s="20" t="n">
        <v>1.74002</v>
      </c>
      <c r="O101" s="20" t="n">
        <v>1.758486</v>
      </c>
      <c r="P101" s="20" t="n">
        <v>1.80366</v>
      </c>
      <c r="Q101" s="20" t="n">
        <v>1.789206</v>
      </c>
      <c r="R101" s="20" t="n">
        <v>1.754592</v>
      </c>
      <c r="S101" s="20" t="n">
        <v>1.752574</v>
      </c>
      <c r="T101" s="23">
        <f>IFERROR(AVERAGE(D101:S101),"")</f>
        <v/>
      </c>
    </row>
    <row r="102">
      <c r="A102" s="22" t="n">
        <v>44102</v>
      </c>
      <c r="B102" s="22" t="n">
        <v>44106</v>
      </c>
      <c r="C102">
        <f>TEXT(A102,"yyyy-mm")</f>
        <v/>
      </c>
      <c r="D102" s="20" t="n">
        <v>1.717246</v>
      </c>
      <c r="E102" s="20" t="n">
        <v>1.746186</v>
      </c>
      <c r="F102" s="20" t="n">
        <v>1.716892</v>
      </c>
      <c r="G102" s="20" t="n">
        <v>1.735522</v>
      </c>
      <c r="H102" s="20" t="n">
        <v>1.782216</v>
      </c>
      <c r="I102" s="20" t="n">
        <v>1.770224</v>
      </c>
      <c r="J102" s="20" t="n">
        <v>1.769032</v>
      </c>
      <c r="K102" s="20" t="n">
        <v>1.885256</v>
      </c>
      <c r="L102" s="20" t="n">
        <v>1.978802</v>
      </c>
      <c r="M102" s="20" t="n">
        <v>2.001436</v>
      </c>
      <c r="N102" s="20" t="n">
        <v>1.819756</v>
      </c>
      <c r="O102" s="20" t="n">
        <v>1.838676</v>
      </c>
      <c r="P102" s="20" t="n">
        <v>1.884966</v>
      </c>
      <c r="Q102" s="20" t="n">
        <v>1.870156</v>
      </c>
      <c r="R102" s="20" t="n">
        <v>1.835094</v>
      </c>
      <c r="S102" s="20" t="n">
        <v>1.833672</v>
      </c>
      <c r="T102" s="23">
        <f>IFERROR(AVERAGE(D102:S102),"")</f>
        <v/>
      </c>
    </row>
    <row r="103">
      <c r="A103" s="22" t="n">
        <v>44109</v>
      </c>
      <c r="B103" s="22" t="n">
        <v>44113</v>
      </c>
      <c r="C103">
        <f>TEXT(A103,"yyyy-mm")</f>
        <v/>
      </c>
      <c r="D103" s="20" t="n">
        <v>1.738696</v>
      </c>
      <c r="E103" s="20" t="n">
        <v>1.765386</v>
      </c>
      <c r="F103" s="20" t="n">
        <v>1.737054</v>
      </c>
      <c r="G103" s="20" t="n">
        <v>1.754696</v>
      </c>
      <c r="H103" s="20" t="n">
        <v>1.800082</v>
      </c>
      <c r="I103" s="20" t="n">
        <v>1.787972</v>
      </c>
      <c r="J103" s="20" t="n">
        <v>1.786834</v>
      </c>
      <c r="K103" s="20" t="n">
        <v>1.903618</v>
      </c>
      <c r="L103" s="20" t="n">
        <v>1.994564</v>
      </c>
      <c r="M103" s="20" t="n">
        <v>2.016952</v>
      </c>
      <c r="N103" s="20" t="n">
        <v>1.837216</v>
      </c>
      <c r="O103" s="20" t="n">
        <v>1.855936</v>
      </c>
      <c r="P103" s="20" t="n">
        <v>1.901732</v>
      </c>
      <c r="Q103" s="20" t="n">
        <v>1.887078</v>
      </c>
      <c r="R103" s="20" t="n">
        <v>1.852146</v>
      </c>
      <c r="S103" s="20" t="n">
        <v>1.850784</v>
      </c>
      <c r="T103" s="23">
        <f>IFERROR(AVERAGE(D103:S103),"")</f>
        <v/>
      </c>
    </row>
    <row r="104">
      <c r="A104" s="22" t="n">
        <v>44116</v>
      </c>
      <c r="B104" s="22" t="n">
        <v>44120</v>
      </c>
      <c r="C104">
        <f>TEXT(A104,"yyyy-mm")</f>
        <v/>
      </c>
      <c r="D104" s="20" t="n">
        <v>1.764632</v>
      </c>
      <c r="E104" s="20" t="n">
        <v>1.784632</v>
      </c>
      <c r="F104" s="20" t="n">
        <v>1.758872</v>
      </c>
      <c r="G104" s="20" t="n">
        <v>1.77377</v>
      </c>
      <c r="H104" s="20" t="n">
        <v>1.815412</v>
      </c>
      <c r="I104" s="20" t="n">
        <v>1.803198</v>
      </c>
      <c r="J104" s="20" t="n">
        <v>1.801686</v>
      </c>
      <c r="K104" s="20" t="n">
        <v>1.925782</v>
      </c>
      <c r="L104" s="20" t="n">
        <v>2.010296</v>
      </c>
      <c r="M104" s="20" t="n">
        <v>2.032732</v>
      </c>
      <c r="N104" s="20" t="n">
        <v>1.852624</v>
      </c>
      <c r="O104" s="20" t="n">
        <v>1.871382</v>
      </c>
      <c r="P104" s="20" t="n">
        <v>1.917272</v>
      </c>
      <c r="Q104" s="20" t="n">
        <v>1.90259</v>
      </c>
      <c r="R104" s="20" t="n">
        <v>1.86751</v>
      </c>
      <c r="S104" s="20" t="n">
        <v>1.865766</v>
      </c>
      <c r="T104" s="23">
        <f>IFERROR(AVERAGE(D104:S104),"")</f>
        <v/>
      </c>
    </row>
    <row r="105">
      <c r="A105" s="22" t="n">
        <v>44123</v>
      </c>
      <c r="B105" s="22" t="n">
        <v>44127</v>
      </c>
      <c r="C105">
        <f>TEXT(A105,"yyyy-mm")</f>
        <v/>
      </c>
      <c r="D105" s="20" t="n">
        <v>1.723172</v>
      </c>
      <c r="E105" s="20" t="n">
        <v>1.740906</v>
      </c>
      <c r="F105" s="20" t="n">
        <v>1.716004</v>
      </c>
      <c r="G105" s="20" t="n">
        <v>1.730024</v>
      </c>
      <c r="H105" s="20" t="n">
        <v>1.770488</v>
      </c>
      <c r="I105" s="20" t="n">
        <v>1.758174</v>
      </c>
      <c r="J105" s="20" t="n">
        <v>1.756708</v>
      </c>
      <c r="K105" s="20" t="n">
        <v>1.883072</v>
      </c>
      <c r="L105" s="20" t="n">
        <v>1.965562</v>
      </c>
      <c r="M105" s="20" t="n">
        <v>1.988018</v>
      </c>
      <c r="N105" s="20" t="n">
        <v>1.807742</v>
      </c>
      <c r="O105" s="20" t="n">
        <v>1.826516</v>
      </c>
      <c r="P105" s="20" t="n">
        <v>1.87245</v>
      </c>
      <c r="Q105" s="20" t="n">
        <v>1.85775</v>
      </c>
      <c r="R105" s="20" t="n">
        <v>1.822542</v>
      </c>
      <c r="S105" s="20" t="n">
        <v>1.82085</v>
      </c>
      <c r="T105" s="23">
        <f>IFERROR(AVERAGE(D105:S105),"")</f>
        <v/>
      </c>
    </row>
    <row r="106">
      <c r="A106" s="22" t="n">
        <v>44130</v>
      </c>
      <c r="B106" s="22" t="n">
        <v>44134</v>
      </c>
      <c r="C106">
        <f>TEXT(A106,"yyyy-mm")</f>
        <v/>
      </c>
      <c r="D106" s="20" t="n">
        <v>1.709232</v>
      </c>
      <c r="E106" s="20" t="n">
        <v>1.72587</v>
      </c>
      <c r="F106" s="20" t="n">
        <v>1.701202</v>
      </c>
      <c r="G106" s="20" t="n">
        <v>1.714966</v>
      </c>
      <c r="H106" s="20" t="n">
        <v>1.755082</v>
      </c>
      <c r="I106" s="20" t="n">
        <v>1.742774</v>
      </c>
      <c r="J106" s="20" t="n">
        <v>1.741244</v>
      </c>
      <c r="K106" s="20" t="n">
        <v>1.871636</v>
      </c>
      <c r="L106" s="20" t="n">
        <v>1.954086</v>
      </c>
      <c r="M106" s="20" t="n">
        <v>1.977</v>
      </c>
      <c r="N106" s="20" t="n">
        <v>1.793086</v>
      </c>
      <c r="O106" s="20" t="n">
        <v>1.81224</v>
      </c>
      <c r="P106" s="20" t="n">
        <v>1.8591</v>
      </c>
      <c r="Q106" s="20" t="n">
        <v>1.844106</v>
      </c>
      <c r="R106" s="20" t="n">
        <v>1.80844</v>
      </c>
      <c r="S106" s="20" t="n">
        <v>1.806678</v>
      </c>
      <c r="T106" s="23">
        <f>IFERROR(AVERAGE(D106:S106),"")</f>
        <v/>
      </c>
    </row>
    <row r="107">
      <c r="A107" s="22" t="n">
        <v>44137</v>
      </c>
      <c r="B107" s="22" t="n">
        <v>44141</v>
      </c>
      <c r="C107">
        <f>TEXT(A107,"yyyy-mm")</f>
        <v/>
      </c>
      <c r="D107" s="20" t="n">
        <v>1.702624</v>
      </c>
      <c r="E107" s="20" t="n">
        <v>1.719016</v>
      </c>
      <c r="F107" s="20" t="n">
        <v>1.694584</v>
      </c>
      <c r="G107" s="20" t="n">
        <v>1.708082</v>
      </c>
      <c r="H107" s="20" t="n">
        <v>1.74782</v>
      </c>
      <c r="I107" s="20" t="n">
        <v>1.735526</v>
      </c>
      <c r="J107" s="20" t="n">
        <v>1.733888</v>
      </c>
      <c r="K107" s="20" t="n">
        <v>1.862598</v>
      </c>
      <c r="L107" s="20" t="n">
        <v>1.943994</v>
      </c>
      <c r="M107" s="20" t="n">
        <v>1.966578</v>
      </c>
      <c r="N107" s="20" t="n">
        <v>1.78528</v>
      </c>
      <c r="O107" s="20" t="n">
        <v>1.80416</v>
      </c>
      <c r="P107" s="20" t="n">
        <v>1.850356</v>
      </c>
      <c r="Q107" s="20" t="n">
        <v>1.835576</v>
      </c>
      <c r="R107" s="20" t="n">
        <v>1.80026</v>
      </c>
      <c r="S107" s="20" t="n">
        <v>1.798394</v>
      </c>
      <c r="T107" s="23">
        <f>IFERROR(AVERAGE(D107:S107),"")</f>
        <v/>
      </c>
    </row>
    <row r="108">
      <c r="A108" s="22" t="n">
        <v>44144</v>
      </c>
      <c r="B108" s="22" t="n">
        <v>44148</v>
      </c>
      <c r="C108">
        <f>TEXT(A108,"yyyy-mm")</f>
        <v/>
      </c>
      <c r="D108" s="20" t="n">
        <v>1.759208</v>
      </c>
      <c r="E108" s="20" t="n">
        <v>1.774776</v>
      </c>
      <c r="F108" s="20" t="n">
        <v>1.75099</v>
      </c>
      <c r="G108" s="20" t="n">
        <v>1.763822</v>
      </c>
      <c r="H108" s="20" t="n">
        <v>1.802668</v>
      </c>
      <c r="I108" s="20" t="n">
        <v>1.790308</v>
      </c>
      <c r="J108" s="20" t="n">
        <v>1.788682</v>
      </c>
      <c r="K108" s="20" t="n">
        <v>1.913266</v>
      </c>
      <c r="L108" s="20" t="n">
        <v>1.992144</v>
      </c>
      <c r="M108" s="20" t="n">
        <v>2.013958</v>
      </c>
      <c r="N108" s="20" t="n">
        <v>1.83885</v>
      </c>
      <c r="O108" s="20" t="n">
        <v>1.857086</v>
      </c>
      <c r="P108" s="20" t="n">
        <v>1.901706</v>
      </c>
      <c r="Q108" s="20" t="n">
        <v>1.887426</v>
      </c>
      <c r="R108" s="20" t="n">
        <v>1.85283</v>
      </c>
      <c r="S108" s="20" t="n">
        <v>1.850984</v>
      </c>
      <c r="T108" s="23">
        <f>IFERROR(AVERAGE(D108:S108),"")</f>
        <v/>
      </c>
    </row>
    <row r="109">
      <c r="A109" s="22" t="n">
        <v>44151</v>
      </c>
      <c r="B109" s="22" t="n">
        <v>44155</v>
      </c>
      <c r="C109">
        <f>TEXT(A109,"yyyy-mm")</f>
        <v/>
      </c>
      <c r="D109" s="20" t="n">
        <v>1.772424</v>
      </c>
      <c r="E109" s="20" t="n">
        <v>1.78687</v>
      </c>
      <c r="F109" s="20" t="n">
        <v>1.763636</v>
      </c>
      <c r="G109" s="20" t="n">
        <v>1.775874</v>
      </c>
      <c r="H109" s="20" t="n">
        <v>1.81391</v>
      </c>
      <c r="I109" s="20" t="n">
        <v>1.80153</v>
      </c>
      <c r="J109" s="20" t="n">
        <v>1.799814</v>
      </c>
      <c r="K109" s="20" t="n">
        <v>1.92384</v>
      </c>
      <c r="L109" s="20" t="n">
        <v>2.00096</v>
      </c>
      <c r="M109" s="20" t="n">
        <v>2.022496</v>
      </c>
      <c r="N109" s="20" t="n">
        <v>1.849628</v>
      </c>
      <c r="O109" s="20" t="n">
        <v>1.867634</v>
      </c>
      <c r="P109" s="20" t="n">
        <v>1.91168</v>
      </c>
      <c r="Q109" s="20" t="n">
        <v>1.897586</v>
      </c>
      <c r="R109" s="20" t="n">
        <v>1.863254</v>
      </c>
      <c r="S109" s="20" t="n">
        <v>1.86132</v>
      </c>
      <c r="T109" s="23">
        <f>IFERROR(AVERAGE(D109:S109),"")</f>
        <v/>
      </c>
    </row>
    <row r="110">
      <c r="A110" s="22" t="n">
        <v>44158</v>
      </c>
      <c r="B110" s="22" t="n">
        <v>44160</v>
      </c>
      <c r="C110">
        <f>TEXT(A110,"yyyy-mm")</f>
        <v/>
      </c>
      <c r="D110" s="20" t="n">
        <v>1.896187</v>
      </c>
      <c r="E110" s="20" t="n">
        <v>1.91083</v>
      </c>
      <c r="F110" s="20" t="n">
        <v>1.887477</v>
      </c>
      <c r="G110" s="20" t="n">
        <v>1.899867</v>
      </c>
      <c r="H110" s="20" t="n">
        <v>1.938133</v>
      </c>
      <c r="I110" s="20" t="n">
        <v>1.92571</v>
      </c>
      <c r="J110" s="20" t="n">
        <v>1.924133</v>
      </c>
      <c r="K110" s="20" t="n">
        <v>2.04832</v>
      </c>
      <c r="L110" s="20" t="n">
        <v>2.125937</v>
      </c>
      <c r="M110" s="20" t="n">
        <v>2.147557</v>
      </c>
      <c r="N110" s="20" t="n">
        <v>1.973993</v>
      </c>
      <c r="O110" s="20" t="n">
        <v>1.992073</v>
      </c>
      <c r="P110" s="20" t="n">
        <v>2.036297</v>
      </c>
      <c r="Q110" s="20" t="n">
        <v>2.022143</v>
      </c>
      <c r="R110" s="20" t="n">
        <v>1.98768</v>
      </c>
      <c r="S110" s="20" t="n">
        <v>1.985887</v>
      </c>
      <c r="T110" s="23">
        <f>IFERROR(AVERAGE(D110:S110),"")</f>
        <v/>
      </c>
    </row>
    <row r="111">
      <c r="A111" s="22" t="n">
        <v>44165</v>
      </c>
      <c r="B111" s="22" t="n">
        <v>44169</v>
      </c>
      <c r="C111">
        <f>TEXT(A111,"yyyy-mm")</f>
        <v/>
      </c>
      <c r="D111" s="20" t="n">
        <v>1.887292</v>
      </c>
      <c r="E111" s="20" t="n">
        <v>1.900986</v>
      </c>
      <c r="F111" s="20" t="n">
        <v>1.878296</v>
      </c>
      <c r="G111" s="20" t="n">
        <v>1.889924</v>
      </c>
      <c r="H111" s="20" t="n">
        <v>1.927098</v>
      </c>
      <c r="I111" s="20" t="n">
        <v>1.914762</v>
      </c>
      <c r="J111" s="20" t="n">
        <v>1.91282</v>
      </c>
      <c r="K111" s="20" t="n">
        <v>2.034288</v>
      </c>
      <c r="L111" s="20" t="n">
        <v>2.109242</v>
      </c>
      <c r="M111" s="20" t="n">
        <v>2.13021</v>
      </c>
      <c r="N111" s="20" t="n">
        <v>1.96188</v>
      </c>
      <c r="O111" s="20" t="n">
        <v>1.979412</v>
      </c>
      <c r="P111" s="20" t="n">
        <v>2.022302</v>
      </c>
      <c r="Q111" s="20" t="n">
        <v>2.008578</v>
      </c>
      <c r="R111" s="20" t="n">
        <v>1.97486</v>
      </c>
      <c r="S111" s="20" t="n">
        <v>1.97271</v>
      </c>
      <c r="T111" s="23">
        <f>IFERROR(AVERAGE(D111:S111),"")</f>
        <v/>
      </c>
    </row>
    <row r="112">
      <c r="A112" s="22" t="n">
        <v>44172</v>
      </c>
      <c r="B112" s="22" t="n">
        <v>44176</v>
      </c>
      <c r="C112">
        <f>TEXT(A112,"yyyy-mm")</f>
        <v/>
      </c>
      <c r="D112" s="20" t="n">
        <v>1.879474</v>
      </c>
      <c r="E112" s="20" t="n">
        <v>1.89314</v>
      </c>
      <c r="F112" s="20" t="n">
        <v>1.870688</v>
      </c>
      <c r="G112" s="20" t="n">
        <v>1.882012</v>
      </c>
      <c r="H112" s="20" t="n">
        <v>1.91872</v>
      </c>
      <c r="I112" s="20" t="n">
        <v>1.906474</v>
      </c>
      <c r="J112" s="20" t="n">
        <v>1.904232</v>
      </c>
      <c r="K112" s="20" t="n">
        <v>2.023044</v>
      </c>
      <c r="L112" s="20" t="n">
        <v>2.09661</v>
      </c>
      <c r="M112" s="20" t="n">
        <v>2.117092</v>
      </c>
      <c r="N112" s="20" t="n">
        <v>1.952686</v>
      </c>
      <c r="O112" s="20" t="n">
        <v>1.969808</v>
      </c>
      <c r="P112" s="20" t="n">
        <v>2.011698</v>
      </c>
      <c r="Q112" s="20" t="n">
        <v>1.998296</v>
      </c>
      <c r="R112" s="20" t="n">
        <v>1.965176</v>
      </c>
      <c r="S112" s="20" t="n">
        <v>1.962726</v>
      </c>
      <c r="T112" s="23">
        <f>IFERROR(AVERAGE(D112:S112),"")</f>
        <v/>
      </c>
    </row>
    <row r="113">
      <c r="A113" s="22" t="n">
        <v>44179</v>
      </c>
      <c r="B113" s="22" t="n">
        <v>44183</v>
      </c>
      <c r="C113">
        <f>TEXT(A113,"yyyy-mm")</f>
        <v/>
      </c>
      <c r="D113" s="20" t="n">
        <v>1.963314</v>
      </c>
      <c r="E113" s="20" t="n">
        <v>1.980648</v>
      </c>
      <c r="F113" s="20" t="n">
        <v>1.956776</v>
      </c>
      <c r="G113" s="20" t="n">
        <v>1.969626</v>
      </c>
      <c r="H113" s="20" t="n">
        <v>2.008422</v>
      </c>
      <c r="I113" s="20" t="n">
        <v>1.99622</v>
      </c>
      <c r="J113" s="20" t="n">
        <v>1.994228</v>
      </c>
      <c r="K113" s="20" t="n">
        <v>2.109104</v>
      </c>
      <c r="L113" s="20" t="n">
        <v>2.186278</v>
      </c>
      <c r="M113" s="20" t="n">
        <v>2.206758</v>
      </c>
      <c r="N113" s="20" t="n">
        <v>2.042386</v>
      </c>
      <c r="O113" s="20" t="n">
        <v>2.059504</v>
      </c>
      <c r="P113" s="20" t="n">
        <v>2.101382</v>
      </c>
      <c r="Q113" s="20" t="n">
        <v>2.087982</v>
      </c>
      <c r="R113" s="20" t="n">
        <v>2.054912</v>
      </c>
      <c r="S113" s="20" t="n">
        <v>2.052708</v>
      </c>
      <c r="T113" s="23">
        <f>IFERROR(AVERAGE(D113:S113),"")</f>
        <v/>
      </c>
    </row>
    <row r="114">
      <c r="A114" s="22" t="n">
        <v>44186</v>
      </c>
      <c r="B114" s="22" t="n">
        <v>44189</v>
      </c>
      <c r="C114">
        <f>TEXT(A114,"yyyy-mm")</f>
        <v/>
      </c>
      <c r="D114" s="20" t="n">
        <v>2.02791</v>
      </c>
      <c r="E114" s="20" t="n">
        <v>2.057335</v>
      </c>
      <c r="F114" s="20" t="n">
        <v>2.028655</v>
      </c>
      <c r="G114" s="20" t="n">
        <v>2.046588</v>
      </c>
      <c r="H114" s="20" t="n">
        <v>2.092283</v>
      </c>
      <c r="I114" s="20" t="n">
        <v>2.080358</v>
      </c>
      <c r="J114" s="20" t="n">
        <v>2.078855</v>
      </c>
      <c r="K114" s="20" t="n">
        <v>2.18337</v>
      </c>
      <c r="L114" s="20" t="n">
        <v>2.27293</v>
      </c>
      <c r="M114" s="20" t="n">
        <v>2.293728</v>
      </c>
      <c r="N114" s="20" t="n">
        <v>2.126778</v>
      </c>
      <c r="O114" s="20" t="n">
        <v>2.144165</v>
      </c>
      <c r="P114" s="20" t="n">
        <v>2.186705</v>
      </c>
      <c r="Q114" s="20" t="n">
        <v>2.173095</v>
      </c>
      <c r="R114" s="20" t="n">
        <v>2.139973</v>
      </c>
      <c r="S114" s="20" t="n">
        <v>2.138253</v>
      </c>
      <c r="T114" s="23">
        <f>IFERROR(AVERAGE(D114:S114),"")</f>
        <v/>
      </c>
    </row>
    <row r="115">
      <c r="A115" s="22" t="n">
        <v>44193</v>
      </c>
      <c r="B115" s="22" t="n">
        <v>44196</v>
      </c>
      <c r="C115">
        <f>TEXT(A115,"yyyy-mm")</f>
        <v/>
      </c>
      <c r="D115" s="20" t="n">
        <v>2.0332</v>
      </c>
      <c r="E115" s="20" t="n">
        <v>2.061105</v>
      </c>
      <c r="F115" s="20" t="n">
        <v>2.032983</v>
      </c>
      <c r="G115" s="20" t="n">
        <v>2.050278</v>
      </c>
      <c r="H115" s="20" t="n">
        <v>2.095065</v>
      </c>
      <c r="I115" s="20" t="n">
        <v>2.083203</v>
      </c>
      <c r="J115" s="20" t="n">
        <v>2.08141</v>
      </c>
      <c r="K115" s="20" t="n">
        <v>2.18843</v>
      </c>
      <c r="L115" s="20" t="n">
        <v>2.276568</v>
      </c>
      <c r="M115" s="20" t="n">
        <v>2.297463</v>
      </c>
      <c r="N115" s="20" t="n">
        <v>2.129723</v>
      </c>
      <c r="O115" s="20" t="n">
        <v>2.147193</v>
      </c>
      <c r="P115" s="20" t="n">
        <v>2.18993</v>
      </c>
      <c r="Q115" s="20" t="n">
        <v>2.176255</v>
      </c>
      <c r="R115" s="20" t="n">
        <v>2.143095</v>
      </c>
      <c r="S115" s="20" t="n">
        <v>2.14109</v>
      </c>
      <c r="T115" s="23">
        <f>IFERROR(AVERAGE(D115:S115),"")</f>
        <v/>
      </c>
    </row>
    <row r="116">
      <c r="A116" s="22" t="n">
        <v>44200</v>
      </c>
      <c r="B116" s="22" t="n">
        <v>44204</v>
      </c>
      <c r="C116">
        <f>TEXT(A116,"yyyy-mm")</f>
        <v/>
      </c>
      <c r="D116" s="20" t="n">
        <v>2.0844</v>
      </c>
      <c r="E116" s="20" t="n">
        <v>2.10927</v>
      </c>
      <c r="F116" s="20" t="n">
        <v>2.08212</v>
      </c>
      <c r="G116" s="20" t="n">
        <v>2.098428</v>
      </c>
      <c r="H116" s="20" t="n">
        <v>2.140622</v>
      </c>
      <c r="I116" s="20" t="n">
        <v>2.129246</v>
      </c>
      <c r="J116" s="20" t="n">
        <v>2.124396</v>
      </c>
      <c r="K116" s="20" t="n">
        <v>2.241188</v>
      </c>
      <c r="L116" s="20" t="n">
        <v>2.326348</v>
      </c>
      <c r="M116" s="20" t="n">
        <v>2.347734</v>
      </c>
      <c r="N116" s="20" t="n">
        <v>2.17609</v>
      </c>
      <c r="O116" s="20" t="n">
        <v>2.193964</v>
      </c>
      <c r="P116" s="20" t="n">
        <v>2.237698</v>
      </c>
      <c r="Q116" s="20" t="n">
        <v>2.223704</v>
      </c>
      <c r="R116" s="20" t="n">
        <v>2.190534</v>
      </c>
      <c r="S116" s="20" t="n">
        <v>2.185468</v>
      </c>
      <c r="T116" s="23">
        <f>IFERROR(AVERAGE(D116:S116),"")</f>
        <v/>
      </c>
    </row>
    <row r="117">
      <c r="A117" s="22" t="n">
        <v>44207</v>
      </c>
      <c r="B117" s="22" t="n">
        <v>44211</v>
      </c>
      <c r="C117">
        <f>TEXT(A117,"yyyy-mm")</f>
        <v/>
      </c>
      <c r="D117" s="20" t="n">
        <v>2.21079</v>
      </c>
      <c r="E117" s="20" t="n">
        <v>2.238214</v>
      </c>
      <c r="F117" s="20" t="n">
        <v>2.210068</v>
      </c>
      <c r="G117" s="20" t="n">
        <v>2.227472</v>
      </c>
      <c r="H117" s="20" t="n">
        <v>2.271084</v>
      </c>
      <c r="I117" s="20" t="n">
        <v>2.259736</v>
      </c>
      <c r="J117" s="20" t="n">
        <v>2.254946</v>
      </c>
      <c r="K117" s="20" t="n">
        <v>2.36912</v>
      </c>
      <c r="L117" s="20" t="n">
        <v>2.456798</v>
      </c>
      <c r="M117" s="20" t="n">
        <v>2.478178</v>
      </c>
      <c r="N117" s="20" t="n">
        <v>2.306548</v>
      </c>
      <c r="O117" s="20" t="n">
        <v>2.324422</v>
      </c>
      <c r="P117" s="20" t="n">
        <v>2.368154</v>
      </c>
      <c r="Q117" s="20" t="n">
        <v>2.35416</v>
      </c>
      <c r="R117" s="20" t="n">
        <v>2.321018</v>
      </c>
      <c r="S117" s="20" t="n">
        <v>2.316012</v>
      </c>
      <c r="T117" s="23">
        <f>IFERROR(AVERAGE(D117:S117),"")</f>
        <v/>
      </c>
    </row>
    <row r="118">
      <c r="A118" s="22" t="n">
        <v>44214</v>
      </c>
      <c r="B118" s="22" t="n">
        <v>44218</v>
      </c>
      <c r="C118">
        <f>TEXT(A118,"yyyy-mm")</f>
        <v/>
      </c>
      <c r="D118" s="20" t="n">
        <v>2.231338</v>
      </c>
      <c r="E118" s="20" t="n">
        <v>2.260818</v>
      </c>
      <c r="F118" s="20" t="n">
        <v>2.23181</v>
      </c>
      <c r="G118" s="20" t="n">
        <v>2.250048</v>
      </c>
      <c r="H118" s="20" t="n">
        <v>2.294643</v>
      </c>
      <c r="I118" s="20" t="n">
        <v>2.283533</v>
      </c>
      <c r="J118" s="20" t="n">
        <v>2.278253</v>
      </c>
      <c r="K118" s="20" t="n">
        <v>2.392403</v>
      </c>
      <c r="L118" s="20" t="n">
        <v>2.482148</v>
      </c>
      <c r="M118" s="20" t="n">
        <v>2.503738</v>
      </c>
      <c r="N118" s="20" t="n">
        <v>2.330445</v>
      </c>
      <c r="O118" s="20" t="n">
        <v>2.348495</v>
      </c>
      <c r="P118" s="20" t="n">
        <v>2.392648</v>
      </c>
      <c r="Q118" s="20" t="n">
        <v>2.378523</v>
      </c>
      <c r="R118" s="20" t="n">
        <v>2.345408</v>
      </c>
      <c r="S118" s="20" t="n">
        <v>2.339908</v>
      </c>
      <c r="T118" s="23">
        <f>IFERROR(AVERAGE(D118:S118),"")</f>
        <v/>
      </c>
    </row>
    <row r="119">
      <c r="A119" s="22" t="n">
        <v>44221</v>
      </c>
      <c r="B119" s="22" t="n">
        <v>44225</v>
      </c>
      <c r="C119">
        <f>TEXT(A119,"yyyy-mm")</f>
        <v/>
      </c>
      <c r="D119" s="20" t="n">
        <v>2.225534</v>
      </c>
      <c r="E119" s="20" t="n">
        <v>2.25183</v>
      </c>
      <c r="F119" s="20" t="n">
        <v>2.223974</v>
      </c>
      <c r="G119" s="20" t="n">
        <v>2.24098</v>
      </c>
      <c r="H119" s="20" t="n">
        <v>2.283998</v>
      </c>
      <c r="I119" s="20" t="n">
        <v>2.2728</v>
      </c>
      <c r="J119" s="20" t="n">
        <v>2.267598</v>
      </c>
      <c r="K119" s="20" t="n">
        <v>2.385992</v>
      </c>
      <c r="L119" s="20" t="n">
        <v>2.473172</v>
      </c>
      <c r="M119" s="20" t="n">
        <v>2.494954</v>
      </c>
      <c r="N119" s="20" t="n">
        <v>2.320122</v>
      </c>
      <c r="O119" s="20" t="n">
        <v>2.33833</v>
      </c>
      <c r="P119" s="20" t="n">
        <v>2.382874</v>
      </c>
      <c r="Q119" s="20" t="n">
        <v>2.368622</v>
      </c>
      <c r="R119" s="20" t="n">
        <v>2.335222</v>
      </c>
      <c r="S119" s="20" t="n">
        <v>2.329802</v>
      </c>
      <c r="T119" s="23">
        <f>IFERROR(AVERAGE(D119:S119),"")</f>
        <v/>
      </c>
    </row>
    <row r="120">
      <c r="A120" s="22" t="n">
        <v>44228</v>
      </c>
      <c r="B120" s="22" t="n">
        <v>44232</v>
      </c>
      <c r="C120">
        <f>TEXT(A120,"yyyy-mm")</f>
        <v/>
      </c>
      <c r="D120" s="20" t="n">
        <v>2.31302</v>
      </c>
      <c r="E120" s="20" t="n">
        <v>2.34045</v>
      </c>
      <c r="F120" s="20" t="n">
        <v>2.312206</v>
      </c>
      <c r="G120" s="20" t="n">
        <v>2.32958</v>
      </c>
      <c r="H120" s="20" t="n">
        <v>2.373022</v>
      </c>
      <c r="I120" s="20" t="n">
        <v>2.361956</v>
      </c>
      <c r="J120" s="20" t="n">
        <v>2.356482</v>
      </c>
      <c r="K120" s="20" t="n">
        <v>2.473656</v>
      </c>
      <c r="L120" s="20" t="n">
        <v>2.561536</v>
      </c>
      <c r="M120" s="20" t="n">
        <v>2.583242</v>
      </c>
      <c r="N120" s="20" t="n">
        <v>2.40902</v>
      </c>
      <c r="O120" s="20" t="n">
        <v>2.427166</v>
      </c>
      <c r="P120" s="20" t="n">
        <v>2.471554</v>
      </c>
      <c r="Q120" s="20" t="n">
        <v>2.45735</v>
      </c>
      <c r="R120" s="20" t="n">
        <v>2.424158</v>
      </c>
      <c r="S120" s="20" t="n">
        <v>2.418468</v>
      </c>
      <c r="T120" s="23">
        <f>IFERROR(AVERAGE(D120:S120),"")</f>
        <v/>
      </c>
    </row>
    <row r="121">
      <c r="A121" s="22" t="n">
        <v>44235</v>
      </c>
      <c r="B121" s="22" t="n">
        <v>44239</v>
      </c>
      <c r="C121">
        <f>TEXT(A121,"yyyy-mm")</f>
        <v/>
      </c>
      <c r="D121" s="20" t="n">
        <v>2.431208</v>
      </c>
      <c r="E121" s="20" t="n">
        <v>2.445244</v>
      </c>
      <c r="F121" s="20" t="n">
        <v>2.430192</v>
      </c>
      <c r="G121" s="20" t="n">
        <v>2.447354</v>
      </c>
      <c r="H121" s="20" t="n">
        <v>2.483314</v>
      </c>
      <c r="I121" s="20" t="n">
        <v>2.479446</v>
      </c>
      <c r="J121" s="20" t="n">
        <v>2.47395</v>
      </c>
      <c r="K121" s="20" t="n">
        <v>2.590982</v>
      </c>
      <c r="L121" s="20" t="n">
        <v>2.671056</v>
      </c>
      <c r="M121" s="20" t="n">
        <v>2.692668</v>
      </c>
      <c r="N121" s="20" t="n">
        <v>2.519164</v>
      </c>
      <c r="O121" s="20" t="n">
        <v>2.537232</v>
      </c>
      <c r="P121" s="20" t="n">
        <v>2.581442</v>
      </c>
      <c r="Q121" s="20" t="n">
        <v>2.567296</v>
      </c>
      <c r="R121" s="20" t="n">
        <v>2.541396</v>
      </c>
      <c r="S121" s="20" t="n">
        <v>2.535682</v>
      </c>
      <c r="T121" s="23">
        <f>IFERROR(AVERAGE(D121:S121),"")</f>
        <v/>
      </c>
    </row>
    <row r="122">
      <c r="A122" s="22" t="n">
        <v>44242</v>
      </c>
      <c r="B122" s="22" t="n">
        <v>44246</v>
      </c>
      <c r="C122">
        <f>TEXT(A122,"yyyy-mm")</f>
        <v/>
      </c>
      <c r="D122" s="20" t="n">
        <v>2.548775</v>
      </c>
      <c r="E122" s="20" t="n">
        <v>2.560223</v>
      </c>
      <c r="F122" s="20" t="n">
        <v>2.546118</v>
      </c>
      <c r="G122" s="20" t="n">
        <v>2.562268</v>
      </c>
      <c r="H122" s="20" t="n">
        <v>2.592135</v>
      </c>
      <c r="I122" s="20" t="n">
        <v>2.592983</v>
      </c>
      <c r="J122" s="20" t="n">
        <v>2.587575</v>
      </c>
      <c r="K122" s="20" t="n">
        <v>2.70775</v>
      </c>
      <c r="L122" s="20" t="n">
        <v>2.780858</v>
      </c>
      <c r="M122" s="20" t="n">
        <v>2.802585</v>
      </c>
      <c r="N122" s="20" t="n">
        <v>2.628173</v>
      </c>
      <c r="O122" s="20" t="n">
        <v>2.646338</v>
      </c>
      <c r="P122" s="20" t="n">
        <v>2.690778</v>
      </c>
      <c r="Q122" s="20" t="n">
        <v>2.676558</v>
      </c>
      <c r="R122" s="20" t="n">
        <v>2.655258</v>
      </c>
      <c r="S122" s="20" t="n">
        <v>2.64963</v>
      </c>
      <c r="T122" s="23">
        <f>IFERROR(AVERAGE(D122:S122),"")</f>
        <v/>
      </c>
    </row>
    <row r="123">
      <c r="A123" s="22" t="n">
        <v>44249</v>
      </c>
      <c r="B123" s="22" t="n">
        <v>44253</v>
      </c>
      <c r="C123">
        <f>TEXT(A123,"yyyy-mm")</f>
        <v/>
      </c>
      <c r="D123" s="20" t="n">
        <v>2.68077</v>
      </c>
      <c r="E123" s="20" t="n">
        <v>2.691864</v>
      </c>
      <c r="F123" s="20" t="n">
        <v>2.677764</v>
      </c>
      <c r="G123" s="20" t="n">
        <v>2.693942</v>
      </c>
      <c r="H123" s="20" t="n">
        <v>2.723882</v>
      </c>
      <c r="I123" s="20" t="n">
        <v>2.724666</v>
      </c>
      <c r="J123" s="20" t="n">
        <v>2.719406</v>
      </c>
      <c r="K123" s="20" t="n">
        <v>2.841616</v>
      </c>
      <c r="L123" s="20" t="n">
        <v>2.915194</v>
      </c>
      <c r="M123" s="20" t="n">
        <v>2.93722</v>
      </c>
      <c r="N123" s="20" t="n">
        <v>2.76041</v>
      </c>
      <c r="O123" s="20" t="n">
        <v>2.778826</v>
      </c>
      <c r="P123" s="20" t="n">
        <v>2.823874</v>
      </c>
      <c r="Q123" s="20" t="n">
        <v>2.80946</v>
      </c>
      <c r="R123" s="20" t="n">
        <v>2.787796</v>
      </c>
      <c r="S123" s="20" t="n">
        <v>2.782318</v>
      </c>
      <c r="T123" s="23">
        <f>IFERROR(AVERAGE(D123:S123),"")</f>
        <v/>
      </c>
    </row>
    <row r="124">
      <c r="A124" s="22" t="n">
        <v>44256</v>
      </c>
      <c r="B124" s="22" t="n">
        <v>44260</v>
      </c>
      <c r="C124">
        <f>TEXT(A124,"yyyy-mm")</f>
        <v/>
      </c>
      <c r="D124" s="20" t="n">
        <v>2.723996</v>
      </c>
      <c r="E124" s="20" t="n">
        <v>2.73464</v>
      </c>
      <c r="F124" s="20" t="n">
        <v>2.720356</v>
      </c>
      <c r="G124" s="20" t="n">
        <v>2.73681</v>
      </c>
      <c r="H124" s="20" t="n">
        <v>2.767196</v>
      </c>
      <c r="I124" s="20" t="n">
        <v>2.76782</v>
      </c>
      <c r="J124" s="20" t="n">
        <v>2.76299</v>
      </c>
      <c r="K124" s="20" t="n">
        <v>2.889894</v>
      </c>
      <c r="L124" s="20" t="n">
        <v>2.965152</v>
      </c>
      <c r="M124" s="20" t="n">
        <v>2.98794</v>
      </c>
      <c r="N124" s="20" t="n">
        <v>2.804996</v>
      </c>
      <c r="O124" s="20" t="n">
        <v>2.82405</v>
      </c>
      <c r="P124" s="20" t="n">
        <v>2.870664</v>
      </c>
      <c r="Q124" s="20" t="n">
        <v>2.855748</v>
      </c>
      <c r="R124" s="20" t="n">
        <v>2.833138</v>
      </c>
      <c r="S124" s="20" t="n">
        <v>2.828082</v>
      </c>
      <c r="T124" s="23">
        <f>IFERROR(AVERAGE(D124:S124),"")</f>
        <v/>
      </c>
    </row>
    <row r="125">
      <c r="A125" s="22" t="n">
        <v>44263</v>
      </c>
      <c r="B125" s="22" t="n">
        <v>44267</v>
      </c>
      <c r="C125">
        <f>TEXT(A125,"yyyy-mm")</f>
        <v/>
      </c>
      <c r="D125" s="20" t="n">
        <v>2.80176</v>
      </c>
      <c r="E125" s="20" t="n">
        <v>2.815684</v>
      </c>
      <c r="F125" s="20" t="n">
        <v>2.800144</v>
      </c>
      <c r="G125" s="20" t="n">
        <v>2.81797</v>
      </c>
      <c r="H125" s="20" t="n">
        <v>2.83985</v>
      </c>
      <c r="I125" s="20" t="n">
        <v>2.828094</v>
      </c>
      <c r="J125" s="20" t="n">
        <v>2.84601</v>
      </c>
      <c r="K125" s="20" t="n">
        <v>2.969402</v>
      </c>
      <c r="L125" s="20" t="n">
        <v>3.037486</v>
      </c>
      <c r="M125" s="20" t="n">
        <v>3.060238</v>
      </c>
      <c r="N125" s="20" t="n">
        <v>2.877592</v>
      </c>
      <c r="O125" s="20" t="n">
        <v>2.896614</v>
      </c>
      <c r="P125" s="20" t="n">
        <v>2.94315</v>
      </c>
      <c r="Q125" s="20" t="n">
        <v>2.928258</v>
      </c>
      <c r="R125" s="20" t="n">
        <v>2.89331</v>
      </c>
      <c r="S125" s="20" t="n">
        <v>2.910994</v>
      </c>
      <c r="T125" s="23">
        <f>IFERROR(AVERAGE(D125:S125),"")</f>
        <v/>
      </c>
    </row>
    <row r="126">
      <c r="A126" s="22" t="n">
        <v>44270</v>
      </c>
      <c r="B126" s="22" t="n">
        <v>44274</v>
      </c>
      <c r="C126">
        <f>TEXT(A126,"yyyy-mm")</f>
        <v/>
      </c>
      <c r="D126" s="20" t="n">
        <v>2.723322</v>
      </c>
      <c r="E126" s="20" t="n">
        <v>2.738228</v>
      </c>
      <c r="F126" s="20" t="n">
        <v>2.722486</v>
      </c>
      <c r="G126" s="20" t="n">
        <v>2.740472</v>
      </c>
      <c r="H126" s="20" t="n">
        <v>2.76254</v>
      </c>
      <c r="I126" s="20" t="n">
        <v>2.75083</v>
      </c>
      <c r="J126" s="20" t="n">
        <v>2.768498</v>
      </c>
      <c r="K126" s="20" t="n">
        <v>2.888886</v>
      </c>
      <c r="L126" s="20" t="n">
        <v>2.95683</v>
      </c>
      <c r="M126" s="20" t="n">
        <v>2.9792</v>
      </c>
      <c r="N126" s="20" t="n">
        <v>2.799644</v>
      </c>
      <c r="O126" s="20" t="n">
        <v>2.818342</v>
      </c>
      <c r="P126" s="20" t="n">
        <v>2.86409</v>
      </c>
      <c r="Q126" s="20" t="n">
        <v>2.849454</v>
      </c>
      <c r="R126" s="20" t="n">
        <v>2.814942</v>
      </c>
      <c r="S126" s="20" t="n">
        <v>2.832388</v>
      </c>
      <c r="T126" s="23">
        <f>IFERROR(AVERAGE(D126:S126),"")</f>
        <v/>
      </c>
    </row>
    <row r="127">
      <c r="A127" s="22" t="n">
        <v>44277</v>
      </c>
      <c r="B127" s="22" t="n">
        <v>44281</v>
      </c>
      <c r="C127">
        <f>TEXT(A127,"yyyy-mm")</f>
        <v/>
      </c>
      <c r="D127" s="20" t="n">
        <v>2.552508</v>
      </c>
      <c r="E127" s="20" t="n">
        <v>2.5661</v>
      </c>
      <c r="F127" s="20" t="n">
        <v>2.550814</v>
      </c>
      <c r="G127" s="20" t="n">
        <v>2.56833</v>
      </c>
      <c r="H127" s="20" t="n">
        <v>2.58983</v>
      </c>
      <c r="I127" s="20" t="n">
        <v>2.578016</v>
      </c>
      <c r="J127" s="20" t="n">
        <v>2.595824</v>
      </c>
      <c r="K127" s="20" t="n">
        <v>2.718002</v>
      </c>
      <c r="L127" s="20" t="n">
        <v>2.785036</v>
      </c>
      <c r="M127" s="20" t="n">
        <v>2.807508</v>
      </c>
      <c r="N127" s="20" t="n">
        <v>2.627104</v>
      </c>
      <c r="O127" s="20" t="n">
        <v>2.645896</v>
      </c>
      <c r="P127" s="20" t="n">
        <v>2.691858</v>
      </c>
      <c r="Q127" s="20" t="n">
        <v>2.67715</v>
      </c>
      <c r="R127" s="20" t="n">
        <v>2.642432</v>
      </c>
      <c r="S127" s="20" t="n">
        <v>2.660008</v>
      </c>
      <c r="T127" s="23">
        <f>IFERROR(AVERAGE(D127:S127),"")</f>
        <v/>
      </c>
    </row>
    <row r="128">
      <c r="A128" s="22" t="n">
        <v>44284</v>
      </c>
      <c r="B128" s="22" t="n">
        <v>44287</v>
      </c>
      <c r="C128">
        <f>TEXT(A128,"yyyy-mm")</f>
        <v/>
      </c>
      <c r="D128" s="20" t="n">
        <v>2.61519</v>
      </c>
      <c r="E128" s="20" t="n">
        <v>2.635005</v>
      </c>
      <c r="F128" s="20" t="n">
        <v>2.617098</v>
      </c>
      <c r="G128" s="20" t="n">
        <v>2.637425</v>
      </c>
      <c r="H128" s="20" t="n">
        <v>2.662343</v>
      </c>
      <c r="I128" s="20" t="n">
        <v>2.6511</v>
      </c>
      <c r="J128" s="20" t="n">
        <v>2.668568</v>
      </c>
      <c r="K128" s="20" t="n">
        <v>2.787923</v>
      </c>
      <c r="L128" s="20" t="n">
        <v>2.861795</v>
      </c>
      <c r="M128" s="20" t="n">
        <v>2.88476</v>
      </c>
      <c r="N128" s="20" t="n">
        <v>2.700428</v>
      </c>
      <c r="O128" s="20" t="n">
        <v>2.719625</v>
      </c>
      <c r="P128" s="20" t="n">
        <v>2.76659</v>
      </c>
      <c r="Q128" s="20" t="n">
        <v>2.751565</v>
      </c>
      <c r="R128" s="20" t="n">
        <v>2.716915</v>
      </c>
      <c r="S128" s="20" t="n">
        <v>2.734153</v>
      </c>
      <c r="T128" s="23">
        <f>IFERROR(AVERAGE(D128:S128),"")</f>
        <v/>
      </c>
    </row>
    <row r="129">
      <c r="A129" s="22" t="n">
        <v>44291</v>
      </c>
      <c r="B129" s="22" t="n">
        <v>44295</v>
      </c>
      <c r="C129">
        <f>TEXT(A129,"yyyy-mm")</f>
        <v/>
      </c>
      <c r="D129" s="20" t="n">
        <v>2.568658</v>
      </c>
      <c r="E129" s="20" t="n">
        <v>2.588512</v>
      </c>
      <c r="F129" s="20" t="n">
        <v>2.570776</v>
      </c>
      <c r="G129" s="20" t="n">
        <v>2.59087</v>
      </c>
      <c r="H129" s="20" t="n">
        <v>2.615488</v>
      </c>
      <c r="I129" s="20" t="n">
        <v>2.604216</v>
      </c>
      <c r="J129" s="20" t="n">
        <v>2.621478</v>
      </c>
      <c r="K129" s="20" t="n">
        <v>2.738714</v>
      </c>
      <c r="L129" s="20" t="n">
        <v>2.81157</v>
      </c>
      <c r="M129" s="20" t="n">
        <v>2.834146</v>
      </c>
      <c r="N129" s="20" t="n">
        <v>2.652928</v>
      </c>
      <c r="O129" s="20" t="n">
        <v>2.671802</v>
      </c>
      <c r="P129" s="20" t="n">
        <v>2.717976</v>
      </c>
      <c r="Q129" s="20" t="n">
        <v>2.703202</v>
      </c>
      <c r="R129" s="20" t="n">
        <v>2.668918</v>
      </c>
      <c r="S129" s="20" t="n">
        <v>2.685954</v>
      </c>
      <c r="T129" s="23">
        <f>IFERROR(AVERAGE(D129:S129),"")</f>
        <v/>
      </c>
    </row>
    <row r="130">
      <c r="A130" s="22" t="n">
        <v>44298</v>
      </c>
      <c r="B130" s="22" t="n">
        <v>44302</v>
      </c>
      <c r="C130">
        <f>TEXT(A130,"yyyy-mm")</f>
        <v/>
      </c>
      <c r="D130" s="20" t="n">
        <v>2.645332</v>
      </c>
      <c r="E130" s="20" t="n">
        <v>2.661516</v>
      </c>
      <c r="F130" s="20" t="n">
        <v>2.645116</v>
      </c>
      <c r="G130" s="20" t="n">
        <v>2.663846</v>
      </c>
      <c r="H130" s="20" t="n">
        <v>2.686824</v>
      </c>
      <c r="I130" s="20" t="n">
        <v>2.675252</v>
      </c>
      <c r="J130" s="20" t="n">
        <v>2.692994</v>
      </c>
      <c r="K130" s="20" t="n">
        <v>2.81409</v>
      </c>
      <c r="L130" s="20" t="n">
        <v>2.884118</v>
      </c>
      <c r="M130" s="20" t="n">
        <v>2.906832</v>
      </c>
      <c r="N130" s="20" t="n">
        <v>2.724498</v>
      </c>
      <c r="O130" s="20" t="n">
        <v>2.743488</v>
      </c>
      <c r="P130" s="20" t="n">
        <v>2.789944</v>
      </c>
      <c r="Q130" s="20" t="n">
        <v>2.775078</v>
      </c>
      <c r="R130" s="20" t="n">
        <v>2.740356</v>
      </c>
      <c r="S130" s="20" t="n">
        <v>2.75787</v>
      </c>
      <c r="T130" s="23">
        <f>IFERROR(AVERAGE(D130:S130),"")</f>
        <v/>
      </c>
    </row>
    <row r="131">
      <c r="A131" s="22" t="n">
        <v>44305</v>
      </c>
      <c r="B131" s="22" t="n">
        <v>44309</v>
      </c>
      <c r="C131">
        <f>TEXT(A131,"yyyy-mm")</f>
        <v/>
      </c>
      <c r="D131" s="20" t="n">
        <v>2.6225</v>
      </c>
      <c r="E131" s="20" t="n">
        <v>2.6354</v>
      </c>
      <c r="F131" s="20" t="n">
        <v>2.6205</v>
      </c>
      <c r="G131" s="20" t="n">
        <v>2.6376</v>
      </c>
      <c r="H131" s="20" t="n">
        <v>2.6586</v>
      </c>
      <c r="I131" s="20" t="n">
        <v>2.6467</v>
      </c>
      <c r="J131" s="20" t="n">
        <v>2.6646</v>
      </c>
      <c r="K131" s="20" t="n">
        <v>2.7855</v>
      </c>
      <c r="L131" s="20" t="n">
        <v>2.8513</v>
      </c>
      <c r="M131" s="20" t="n">
        <v>2.8734</v>
      </c>
      <c r="N131" s="20" t="n">
        <v>2.6954</v>
      </c>
      <c r="O131" s="20" t="n">
        <v>2.714</v>
      </c>
      <c r="P131" s="20" t="n">
        <v>2.7593</v>
      </c>
      <c r="Q131" s="20" t="n">
        <v>2.7448</v>
      </c>
      <c r="R131" s="20" t="n">
        <v>2.7103</v>
      </c>
      <c r="S131" s="20" t="n">
        <v>2.7279</v>
      </c>
      <c r="T131" s="23">
        <f>IFERROR(AVERAGE(D131:S131),"")</f>
        <v/>
      </c>
    </row>
    <row r="132">
      <c r="A132" s="22" t="n">
        <v>44312</v>
      </c>
      <c r="B132" s="22" t="n">
        <v>44316</v>
      </c>
      <c r="C132">
        <f>TEXT(A132,"yyyy-mm")</f>
        <v/>
      </c>
      <c r="D132" s="20" t="n">
        <v>2.599052</v>
      </c>
      <c r="E132" s="20" t="n">
        <v>2.613166</v>
      </c>
      <c r="F132" s="20" t="n">
        <v>2.598024</v>
      </c>
      <c r="G132" s="20" t="n">
        <v>2.615288</v>
      </c>
      <c r="H132" s="20" t="n">
        <v>2.636462</v>
      </c>
      <c r="I132" s="20" t="n">
        <v>2.624632</v>
      </c>
      <c r="J132" s="20" t="n">
        <v>2.64204</v>
      </c>
      <c r="K132" s="20" t="n">
        <v>2.759764</v>
      </c>
      <c r="L132" s="20" t="n">
        <v>2.825312</v>
      </c>
      <c r="M132" s="20" t="n">
        <v>2.847054</v>
      </c>
      <c r="N132" s="20" t="n">
        <v>2.672524</v>
      </c>
      <c r="O132" s="20" t="n">
        <v>2.690702</v>
      </c>
      <c r="P132" s="20" t="n">
        <v>2.73517</v>
      </c>
      <c r="Q132" s="20" t="n">
        <v>2.720942</v>
      </c>
      <c r="R132" s="20" t="n">
        <v>2.686948</v>
      </c>
      <c r="S132" s="20" t="n">
        <v>2.704136</v>
      </c>
      <c r="T132" s="23">
        <f>IFERROR(AVERAGE(D132:S132),"")</f>
        <v/>
      </c>
    </row>
    <row r="133">
      <c r="A133" s="22" t="n">
        <v>44319</v>
      </c>
      <c r="B133" s="22" t="n">
        <v>44323</v>
      </c>
      <c r="C133">
        <f>TEXT(A133,"yyyy-mm")</f>
        <v/>
      </c>
      <c r="D133" s="20" t="n">
        <v>2.64141</v>
      </c>
      <c r="E133" s="20" t="n">
        <v>2.658658</v>
      </c>
      <c r="F133" s="20" t="n">
        <v>2.6424</v>
      </c>
      <c r="G133" s="20" t="n">
        <v>2.66094</v>
      </c>
      <c r="H133" s="20" t="n">
        <v>2.683682</v>
      </c>
      <c r="I133" s="20" t="n">
        <v>2.672088</v>
      </c>
      <c r="J133" s="20" t="n">
        <v>2.68969</v>
      </c>
      <c r="K133" s="20" t="n">
        <v>2.802034</v>
      </c>
      <c r="L133" s="20" t="n">
        <v>2.870074</v>
      </c>
      <c r="M133" s="20" t="n">
        <v>2.891536</v>
      </c>
      <c r="N133" s="20" t="n">
        <v>2.719276</v>
      </c>
      <c r="O133" s="20" t="n">
        <v>2.737216</v>
      </c>
      <c r="P133" s="20" t="n">
        <v>2.781104</v>
      </c>
      <c r="Q133" s="20" t="n">
        <v>2.767064</v>
      </c>
      <c r="R133" s="20" t="n">
        <v>2.733592</v>
      </c>
      <c r="S133" s="20" t="n">
        <v>2.750976</v>
      </c>
      <c r="T133" s="23">
        <f>IFERROR(AVERAGE(D133:S133),"")</f>
        <v/>
      </c>
    </row>
    <row r="134">
      <c r="A134" s="22" t="n">
        <v>44326</v>
      </c>
      <c r="B134" s="22" t="n">
        <v>44330</v>
      </c>
      <c r="C134">
        <f>TEXT(A134,"yyyy-mm")</f>
        <v/>
      </c>
      <c r="D134" s="20" t="n">
        <v>2.686882</v>
      </c>
      <c r="E134" s="20" t="n">
        <v>2.723774</v>
      </c>
      <c r="F134" s="20" t="n">
        <v>2.699978</v>
      </c>
      <c r="G134" s="20" t="n">
        <v>2.726774</v>
      </c>
      <c r="H134" s="20" t="n">
        <v>2.759582</v>
      </c>
      <c r="I134" s="20" t="n">
        <v>2.749598</v>
      </c>
      <c r="J134" s="20" t="n">
        <v>2.766978</v>
      </c>
      <c r="K134" s="20" t="n">
        <v>2.857316</v>
      </c>
      <c r="L134" s="20" t="n">
        <v>2.943288</v>
      </c>
      <c r="M134" s="20" t="n">
        <v>2.96444</v>
      </c>
      <c r="N134" s="20" t="n">
        <v>2.794662</v>
      </c>
      <c r="O134" s="20" t="n">
        <v>2.812342</v>
      </c>
      <c r="P134" s="20" t="n">
        <v>2.855602</v>
      </c>
      <c r="Q134" s="20" t="n">
        <v>2.84176</v>
      </c>
      <c r="R134" s="20" t="n">
        <v>2.81022</v>
      </c>
      <c r="S134" s="20" t="n">
        <v>2.827386</v>
      </c>
      <c r="T134" s="23">
        <f>IFERROR(AVERAGE(D134:S134),"")</f>
        <v/>
      </c>
    </row>
    <row r="135">
      <c r="A135" s="22" t="n">
        <v>44333</v>
      </c>
      <c r="B135" s="22" t="n">
        <v>44337</v>
      </c>
      <c r="C135">
        <f>TEXT(A135,"yyyy-mm")</f>
        <v/>
      </c>
      <c r="D135" s="20" t="n">
        <v>2.644694</v>
      </c>
      <c r="E135" s="20" t="n">
        <v>2.661758</v>
      </c>
      <c r="F135" s="20" t="n">
        <v>2.645682</v>
      </c>
      <c r="G135" s="20" t="n">
        <v>2.66397</v>
      </c>
      <c r="H135" s="20" t="n">
        <v>2.686394</v>
      </c>
      <c r="I135" s="20" t="n">
        <v>2.674764</v>
      </c>
      <c r="J135" s="20" t="n">
        <v>2.692158</v>
      </c>
      <c r="K135" s="20" t="n">
        <v>2.803684</v>
      </c>
      <c r="L135" s="20" t="n">
        <v>2.870882</v>
      </c>
      <c r="M135" s="20" t="n">
        <v>2.892122</v>
      </c>
      <c r="N135" s="20" t="n">
        <v>2.721624</v>
      </c>
      <c r="O135" s="20" t="n">
        <v>2.739384</v>
      </c>
      <c r="P135" s="20" t="n">
        <v>2.782822</v>
      </c>
      <c r="Q135" s="20" t="n">
        <v>2.768922</v>
      </c>
      <c r="R135" s="20" t="n">
        <v>2.73564</v>
      </c>
      <c r="S135" s="20" t="n">
        <v>2.75282</v>
      </c>
      <c r="T135" s="23">
        <f>IFERROR(AVERAGE(D135:S135),"")</f>
        <v/>
      </c>
    </row>
    <row r="136">
      <c r="A136" s="22" t="n">
        <v>44340</v>
      </c>
      <c r="B136" s="22" t="n">
        <v>44344</v>
      </c>
      <c r="C136">
        <f>TEXT(A136,"yyyy-mm")</f>
        <v/>
      </c>
      <c r="D136" s="20" t="n">
        <v>2.64806</v>
      </c>
      <c r="E136" s="20" t="n">
        <v>2.66074</v>
      </c>
      <c r="F136" s="20" t="n">
        <v>2.646368</v>
      </c>
      <c r="G136" s="20" t="n">
        <v>2.662824</v>
      </c>
      <c r="H136" s="20" t="n">
        <v>2.68302</v>
      </c>
      <c r="I136" s="20" t="n">
        <v>2.671022</v>
      </c>
      <c r="J136" s="20" t="n">
        <v>2.688604</v>
      </c>
      <c r="K136" s="20" t="n">
        <v>2.804346</v>
      </c>
      <c r="L136" s="20" t="n">
        <v>2.867478</v>
      </c>
      <c r="M136" s="20" t="n">
        <v>2.888712</v>
      </c>
      <c r="N136" s="20" t="n">
        <v>2.718244</v>
      </c>
      <c r="O136" s="20" t="n">
        <v>2.735996</v>
      </c>
      <c r="P136" s="20" t="n">
        <v>2.779432</v>
      </c>
      <c r="Q136" s="20" t="n">
        <v>2.765534</v>
      </c>
      <c r="R136" s="20" t="n">
        <v>2.731888</v>
      </c>
      <c r="S136" s="20" t="n">
        <v>2.749256</v>
      </c>
      <c r="T136" s="23">
        <f>IFERROR(AVERAGE(D136:S136),"")</f>
        <v/>
      </c>
    </row>
    <row r="137">
      <c r="A137" s="22" t="n">
        <v>44347</v>
      </c>
      <c r="B137" s="22" t="n">
        <v>44351</v>
      </c>
      <c r="C137">
        <f>TEXT(A137,"yyyy-mm")</f>
        <v/>
      </c>
      <c r="D137" s="20" t="n">
        <v>2.615028</v>
      </c>
      <c r="E137" s="20" t="n">
        <v>2.6258</v>
      </c>
      <c r="F137" s="20" t="n">
        <v>2.612525</v>
      </c>
      <c r="G137" s="20" t="n">
        <v>2.627745</v>
      </c>
      <c r="H137" s="20" t="n">
        <v>2.646423</v>
      </c>
      <c r="I137" s="20" t="n">
        <v>2.634193</v>
      </c>
      <c r="J137" s="20" t="n">
        <v>2.651648</v>
      </c>
      <c r="K137" s="20" t="n">
        <v>2.764618</v>
      </c>
      <c r="L137" s="20" t="n">
        <v>2.824005</v>
      </c>
      <c r="M137" s="20" t="n">
        <v>2.84445</v>
      </c>
      <c r="N137" s="20" t="n">
        <v>2.68033</v>
      </c>
      <c r="O137" s="20" t="n">
        <v>2.697428</v>
      </c>
      <c r="P137" s="20" t="n">
        <v>2.73924</v>
      </c>
      <c r="Q137" s="20" t="n">
        <v>2.725863</v>
      </c>
      <c r="R137" s="20" t="n">
        <v>2.69279</v>
      </c>
      <c r="S137" s="20" t="n">
        <v>2.710038</v>
      </c>
      <c r="T137" s="23">
        <f>IFERROR(AVERAGE(D137:S137),"")</f>
        <v/>
      </c>
    </row>
    <row r="138">
      <c r="A138" s="22" t="n">
        <v>44354</v>
      </c>
      <c r="B138" s="22" t="n">
        <v>44358</v>
      </c>
      <c r="C138">
        <f>TEXT(A138,"yyyy-mm")</f>
        <v/>
      </c>
      <c r="D138" s="20" t="n">
        <v>2.664232</v>
      </c>
      <c r="E138" s="20" t="n">
        <v>2.679026</v>
      </c>
      <c r="F138" s="20" t="n">
        <v>2.66424</v>
      </c>
      <c r="G138" s="20" t="n">
        <v>2.681046</v>
      </c>
      <c r="H138" s="20" t="n">
        <v>2.701654</v>
      </c>
      <c r="I138" s="20" t="n">
        <v>2.689752</v>
      </c>
      <c r="J138" s="20" t="n">
        <v>2.70689</v>
      </c>
      <c r="K138" s="20" t="n">
        <v>2.815676</v>
      </c>
      <c r="L138" s="20" t="n">
        <v>2.87847</v>
      </c>
      <c r="M138" s="20" t="n">
        <v>2.898826</v>
      </c>
      <c r="N138" s="20" t="n">
        <v>2.735416</v>
      </c>
      <c r="O138" s="20" t="n">
        <v>2.752434</v>
      </c>
      <c r="P138" s="20" t="n">
        <v>2.79407</v>
      </c>
      <c r="Q138" s="20" t="n">
        <v>2.780748</v>
      </c>
      <c r="R138" s="20" t="n">
        <v>2.748098</v>
      </c>
      <c r="S138" s="20" t="n">
        <v>2.765028</v>
      </c>
      <c r="T138" s="23">
        <f>IFERROR(AVERAGE(D138:S138),"")</f>
        <v/>
      </c>
    </row>
    <row r="139">
      <c r="A139" s="22" t="n">
        <v>44361</v>
      </c>
      <c r="B139" s="22" t="n">
        <v>44365</v>
      </c>
      <c r="C139">
        <f>TEXT(A139,"yyyy-mm")</f>
        <v/>
      </c>
      <c r="D139" s="20" t="n">
        <v>2.710628</v>
      </c>
      <c r="E139" s="20" t="n">
        <v>2.729748</v>
      </c>
      <c r="F139" s="20" t="n">
        <v>2.713338</v>
      </c>
      <c r="G139" s="20" t="n">
        <v>2.73182</v>
      </c>
      <c r="H139" s="20" t="n">
        <v>2.75445</v>
      </c>
      <c r="I139" s="20" t="n">
        <v>2.742912</v>
      </c>
      <c r="J139" s="20" t="n">
        <v>2.759558</v>
      </c>
      <c r="K139" s="20" t="n">
        <v>2.86431</v>
      </c>
      <c r="L139" s="20" t="n">
        <v>2.93073</v>
      </c>
      <c r="M139" s="20" t="n">
        <v>2.951026</v>
      </c>
      <c r="N139" s="20" t="n">
        <v>2.788112</v>
      </c>
      <c r="O139" s="20" t="n">
        <v>2.80508</v>
      </c>
      <c r="P139" s="20" t="n">
        <v>2.846588</v>
      </c>
      <c r="Q139" s="20" t="n">
        <v>2.833306</v>
      </c>
      <c r="R139" s="20" t="n">
        <v>2.80108</v>
      </c>
      <c r="S139" s="20" t="n">
        <v>2.81752</v>
      </c>
      <c r="T139" s="23">
        <f>IFERROR(AVERAGE(D139:S139),"")</f>
        <v/>
      </c>
    </row>
    <row r="140">
      <c r="A140" s="22" t="n">
        <v>44368</v>
      </c>
      <c r="B140" s="22" t="n">
        <v>44372</v>
      </c>
      <c r="C140">
        <f>TEXT(A140,"yyyy-mm")</f>
        <v/>
      </c>
      <c r="D140" s="20" t="n">
        <v>2.669894</v>
      </c>
      <c r="E140" s="20" t="n">
        <v>2.684834</v>
      </c>
      <c r="F140" s="20" t="n">
        <v>2.670176</v>
      </c>
      <c r="G140" s="20" t="n">
        <v>2.686804</v>
      </c>
      <c r="H140" s="20" t="n">
        <v>2.707188</v>
      </c>
      <c r="I140" s="20" t="n">
        <v>2.695264</v>
      </c>
      <c r="J140" s="20" t="n">
        <v>2.712242</v>
      </c>
      <c r="K140" s="20" t="n">
        <v>2.818676</v>
      </c>
      <c r="L140" s="20" t="n">
        <v>2.880576</v>
      </c>
      <c r="M140" s="20" t="n">
        <v>2.90054</v>
      </c>
      <c r="N140" s="20" t="n">
        <v>2.740296</v>
      </c>
      <c r="O140" s="20" t="n">
        <v>2.756984</v>
      </c>
      <c r="P140" s="20" t="n">
        <v>2.797812</v>
      </c>
      <c r="Q140" s="20" t="n">
        <v>2.784748</v>
      </c>
      <c r="R140" s="20" t="n">
        <v>2.752482</v>
      </c>
      <c r="S140" s="20" t="n">
        <v>2.769256</v>
      </c>
      <c r="T140" s="23">
        <f>IFERROR(AVERAGE(D140:S140),"")</f>
        <v/>
      </c>
    </row>
    <row r="141">
      <c r="A141" s="22" t="n">
        <v>44375</v>
      </c>
      <c r="B141" s="22" t="n">
        <v>44379</v>
      </c>
      <c r="C141">
        <f>TEXT(A141,"yyyy-mm")</f>
        <v/>
      </c>
      <c r="D141" s="20" t="n">
        <v>2.696594</v>
      </c>
      <c r="E141" s="20" t="n">
        <v>2.717132</v>
      </c>
      <c r="F141" s="20" t="n">
        <v>2.70026</v>
      </c>
      <c r="G141" s="20" t="n">
        <v>2.71932</v>
      </c>
      <c r="H141" s="20" t="n">
        <v>2.742666</v>
      </c>
      <c r="I141" s="20" t="n">
        <v>2.731218</v>
      </c>
      <c r="J141" s="20" t="n">
        <v>2.748156</v>
      </c>
      <c r="K141" s="20" t="n">
        <v>2.849206</v>
      </c>
      <c r="L141" s="20" t="n">
        <v>2.916576</v>
      </c>
      <c r="M141" s="20" t="n">
        <v>2.936598</v>
      </c>
      <c r="N141" s="20" t="n">
        <v>2.775874</v>
      </c>
      <c r="O141" s="20" t="n">
        <v>2.792616</v>
      </c>
      <c r="P141" s="20" t="n">
        <v>2.833566</v>
      </c>
      <c r="Q141" s="20" t="n">
        <v>2.820462</v>
      </c>
      <c r="R141" s="20" t="n">
        <v>2.788606</v>
      </c>
      <c r="S141" s="20" t="n">
        <v>2.80534</v>
      </c>
      <c r="T141" s="23">
        <f>IFERROR(AVERAGE(D141:S141),"")</f>
        <v/>
      </c>
    </row>
    <row r="142">
      <c r="A142" s="22" t="n">
        <v>44382</v>
      </c>
      <c r="B142" s="22" t="n">
        <v>44386</v>
      </c>
      <c r="C142">
        <f>TEXT(A142,"yyyy-mm")</f>
        <v/>
      </c>
      <c r="D142" s="20" t="n">
        <v>2.809543</v>
      </c>
      <c r="E142" s="20" t="n">
        <v>2.825993</v>
      </c>
      <c r="F142" s="20" t="n">
        <v>2.810308</v>
      </c>
      <c r="G142" s="20" t="n">
        <v>2.82803</v>
      </c>
      <c r="H142" s="20" t="n">
        <v>2.849745</v>
      </c>
      <c r="I142" s="20" t="n">
        <v>2.838045</v>
      </c>
      <c r="J142" s="20" t="n">
        <v>2.85486</v>
      </c>
      <c r="K142" s="20" t="n">
        <v>2.96651</v>
      </c>
      <c r="L142" s="20" t="n">
        <v>3.032128</v>
      </c>
      <c r="M142" s="20" t="n">
        <v>3.053123</v>
      </c>
      <c r="N142" s="20" t="n">
        <v>2.884568</v>
      </c>
      <c r="O142" s="20" t="n">
        <v>2.902125</v>
      </c>
      <c r="P142" s="20" t="n">
        <v>2.945073</v>
      </c>
      <c r="Q142" s="20" t="n">
        <v>2.93133</v>
      </c>
      <c r="R142" s="20" t="n">
        <v>2.898225</v>
      </c>
      <c r="S142" s="20" t="n">
        <v>2.914833</v>
      </c>
      <c r="T142" s="23">
        <f>IFERROR(AVERAGE(D142:S142),"")</f>
        <v/>
      </c>
    </row>
    <row r="143">
      <c r="A143" s="22" t="n">
        <v>44389</v>
      </c>
      <c r="B143" s="22" t="n">
        <v>44393</v>
      </c>
      <c r="C143">
        <f>TEXT(A143,"yyyy-mm")</f>
        <v/>
      </c>
      <c r="D143" s="20" t="n">
        <v>2.781734</v>
      </c>
      <c r="E143" s="20" t="n">
        <v>2.796886</v>
      </c>
      <c r="F143" s="20" t="n">
        <v>2.781854</v>
      </c>
      <c r="G143" s="20" t="n">
        <v>2.798932</v>
      </c>
      <c r="H143" s="20" t="n">
        <v>2.819874</v>
      </c>
      <c r="I143" s="20" t="n">
        <v>2.808028</v>
      </c>
      <c r="J143" s="20" t="n">
        <v>2.825162</v>
      </c>
      <c r="K143" s="20" t="n">
        <v>2.935204</v>
      </c>
      <c r="L143" s="20" t="n">
        <v>2.998932</v>
      </c>
      <c r="M143" s="20" t="n">
        <v>3.019546</v>
      </c>
      <c r="N143" s="20" t="n">
        <v>2.854066</v>
      </c>
      <c r="O143" s="20" t="n">
        <v>2.8713</v>
      </c>
      <c r="P143" s="20" t="n">
        <v>2.913464</v>
      </c>
      <c r="Q143" s="20" t="n">
        <v>2.899972</v>
      </c>
      <c r="R143" s="20" t="n">
        <v>2.867116</v>
      </c>
      <c r="S143" s="20" t="n">
        <v>2.88404</v>
      </c>
      <c r="T143" s="23">
        <f>IFERROR(AVERAGE(D143:S143),"")</f>
        <v/>
      </c>
    </row>
    <row r="144">
      <c r="A144" s="22" t="n">
        <v>44396</v>
      </c>
      <c r="B144" s="22" t="n">
        <v>44400</v>
      </c>
      <c r="C144">
        <f>TEXT(A144,"yyyy-mm")</f>
        <v/>
      </c>
      <c r="D144" s="20" t="n">
        <v>2.713544</v>
      </c>
      <c r="E144" s="20" t="n">
        <v>2.728946</v>
      </c>
      <c r="F144" s="20" t="n">
        <v>2.71366</v>
      </c>
      <c r="G144" s="20" t="n">
        <v>2.731038</v>
      </c>
      <c r="H144" s="20" t="n">
        <v>2.752342</v>
      </c>
      <c r="I144" s="20" t="n">
        <v>2.740546</v>
      </c>
      <c r="J144" s="20" t="n">
        <v>2.757762</v>
      </c>
      <c r="K144" s="20" t="n">
        <v>2.869496</v>
      </c>
      <c r="L144" s="20" t="n">
        <v>2.934296</v>
      </c>
      <c r="M144" s="20" t="n">
        <v>2.955248</v>
      </c>
      <c r="N144" s="20" t="n">
        <v>2.787086</v>
      </c>
      <c r="O144" s="20" t="n">
        <v>2.8046</v>
      </c>
      <c r="P144" s="20" t="n">
        <v>2.847446</v>
      </c>
      <c r="Q144" s="20" t="n">
        <v>2.833736</v>
      </c>
      <c r="R144" s="20" t="n">
        <v>2.800586</v>
      </c>
      <c r="S144" s="20" t="n">
        <v>2.81759</v>
      </c>
      <c r="T144" s="23">
        <f>IFERROR(AVERAGE(D144:S144),"")</f>
        <v/>
      </c>
    </row>
    <row r="145">
      <c r="A145" s="22" t="n">
        <v>44403</v>
      </c>
      <c r="B145" s="22" t="n">
        <v>44407</v>
      </c>
      <c r="C145">
        <f>TEXT(A145,"yyyy-mm")</f>
        <v/>
      </c>
      <c r="D145" s="20" t="n">
        <v>2.790562</v>
      </c>
      <c r="E145" s="20" t="n">
        <v>2.8071</v>
      </c>
      <c r="F145" s="20" t="n">
        <v>2.79148</v>
      </c>
      <c r="G145" s="20" t="n">
        <v>2.809214</v>
      </c>
      <c r="H145" s="20" t="n">
        <v>2.83095</v>
      </c>
      <c r="I145" s="20" t="n">
        <v>2.81923</v>
      </c>
      <c r="J145" s="20" t="n">
        <v>2.836392</v>
      </c>
      <c r="K145" s="20" t="n">
        <v>2.94555</v>
      </c>
      <c r="L145" s="20" t="n">
        <v>3.010848</v>
      </c>
      <c r="M145" s="20" t="n">
        <v>3.03156</v>
      </c>
      <c r="N145" s="20" t="n">
        <v>2.865304</v>
      </c>
      <c r="O145" s="20" t="n">
        <v>2.882618</v>
      </c>
      <c r="P145" s="20" t="n">
        <v>2.92498</v>
      </c>
      <c r="Q145" s="20" t="n">
        <v>2.911422</v>
      </c>
      <c r="R145" s="20" t="n">
        <v>2.878592</v>
      </c>
      <c r="S145" s="20" t="n">
        <v>2.895544</v>
      </c>
      <c r="T145" s="23">
        <f>IFERROR(AVERAGE(D145:S145),"")</f>
        <v/>
      </c>
    </row>
    <row r="146">
      <c r="A146" s="22" t="n">
        <v>44410</v>
      </c>
      <c r="B146" s="22" t="n">
        <v>44414</v>
      </c>
      <c r="C146">
        <f>TEXT(A146,"yyyy-mm")</f>
        <v/>
      </c>
      <c r="D146" s="20" t="n">
        <v>2.761448</v>
      </c>
      <c r="E146" s="20" t="n">
        <v>2.778388</v>
      </c>
      <c r="F146" s="20" t="n">
        <v>2.762542</v>
      </c>
      <c r="G146" s="20" t="n">
        <v>2.780486</v>
      </c>
      <c r="H146" s="20" t="n">
        <v>2.802476</v>
      </c>
      <c r="I146" s="20" t="n">
        <v>2.790806</v>
      </c>
      <c r="J146" s="20" t="n">
        <v>2.807804</v>
      </c>
      <c r="K146" s="20" t="n">
        <v>2.917986</v>
      </c>
      <c r="L146" s="20" t="n">
        <v>2.983974</v>
      </c>
      <c r="M146" s="20" t="n">
        <v>3.00487</v>
      </c>
      <c r="N146" s="20" t="n">
        <v>2.837134</v>
      </c>
      <c r="O146" s="20" t="n">
        <v>2.854602</v>
      </c>
      <c r="P146" s="20" t="n">
        <v>2.897342</v>
      </c>
      <c r="Q146" s="20" t="n">
        <v>2.883664</v>
      </c>
      <c r="R146" s="20" t="n">
        <v>2.850698</v>
      </c>
      <c r="S146" s="20" t="n">
        <v>2.867484</v>
      </c>
      <c r="T146" s="23">
        <f>IFERROR(AVERAGE(D146:S146),"")</f>
        <v/>
      </c>
    </row>
    <row r="147">
      <c r="A147" s="22" t="n">
        <v>44417</v>
      </c>
      <c r="B147" s="22" t="n">
        <v>44421</v>
      </c>
      <c r="C147">
        <f>TEXT(A147,"yyyy-mm")</f>
        <v/>
      </c>
      <c r="D147" s="20" t="n">
        <v>2.708326</v>
      </c>
      <c r="E147" s="20" t="n">
        <v>2.723802</v>
      </c>
      <c r="F147" s="20" t="n">
        <v>2.708482</v>
      </c>
      <c r="G147" s="20" t="n">
        <v>2.725874</v>
      </c>
      <c r="H147" s="20" t="n">
        <v>2.747194</v>
      </c>
      <c r="I147" s="20" t="n">
        <v>2.735408</v>
      </c>
      <c r="J147" s="20" t="n">
        <v>2.752524</v>
      </c>
      <c r="K147" s="20" t="n">
        <v>2.86457</v>
      </c>
      <c r="L147" s="20" t="n">
        <v>2.929446</v>
      </c>
      <c r="M147" s="20" t="n">
        <v>2.950426</v>
      </c>
      <c r="N147" s="20" t="n">
        <v>2.781996</v>
      </c>
      <c r="O147" s="20" t="n">
        <v>2.799538</v>
      </c>
      <c r="P147" s="20" t="n">
        <v>2.842454</v>
      </c>
      <c r="Q147" s="20" t="n">
        <v>2.82872</v>
      </c>
      <c r="R147" s="20" t="n">
        <v>2.795548</v>
      </c>
      <c r="S147" s="20" t="n">
        <v>2.812454</v>
      </c>
      <c r="T147" s="23">
        <f>IFERROR(AVERAGE(D147:S147),"")</f>
        <v/>
      </c>
    </row>
    <row r="148">
      <c r="A148" s="22" t="n">
        <v>44424</v>
      </c>
      <c r="B148" s="22" t="n">
        <v>44428</v>
      </c>
      <c r="C148">
        <f>TEXT(A148,"yyyy-mm")</f>
        <v/>
      </c>
      <c r="D148" s="20" t="n">
        <v>2.703774</v>
      </c>
      <c r="E148" s="20" t="n">
        <v>2.716412</v>
      </c>
      <c r="F148" s="20" t="n">
        <v>2.701948</v>
      </c>
      <c r="G148" s="20" t="n">
        <v>2.718534</v>
      </c>
      <c r="H148" s="20" t="n">
        <v>2.73889</v>
      </c>
      <c r="I148" s="20" t="n">
        <v>2.726906</v>
      </c>
      <c r="J148" s="20" t="n">
        <v>2.744596</v>
      </c>
      <c r="K148" s="20" t="n">
        <v>2.861646</v>
      </c>
      <c r="L148" s="20" t="n">
        <v>2.92535</v>
      </c>
      <c r="M148" s="20" t="n">
        <v>2.946818</v>
      </c>
      <c r="N148" s="20" t="n">
        <v>2.774494</v>
      </c>
      <c r="O148" s="20" t="n">
        <v>2.792446</v>
      </c>
      <c r="P148" s="20" t="n">
        <v>2.83635</v>
      </c>
      <c r="Q148" s="20" t="n">
        <v>2.8223</v>
      </c>
      <c r="R148" s="20" t="n">
        <v>2.788434</v>
      </c>
      <c r="S148" s="20" t="n">
        <v>2.805906</v>
      </c>
      <c r="T148" s="23">
        <f>IFERROR(AVERAGE(D148:S148),"")</f>
        <v/>
      </c>
    </row>
    <row r="149">
      <c r="A149" s="22" t="n">
        <v>44431</v>
      </c>
      <c r="B149" s="22" t="n">
        <v>44435</v>
      </c>
      <c r="C149">
        <f>TEXT(A149,"yyyy-mm")</f>
        <v/>
      </c>
      <c r="D149" s="20" t="n">
        <v>2.713354</v>
      </c>
      <c r="E149" s="20" t="n">
        <v>2.724518</v>
      </c>
      <c r="F149" s="20" t="n">
        <v>2.710772</v>
      </c>
      <c r="G149" s="20" t="n">
        <v>2.72657</v>
      </c>
      <c r="H149" s="20" t="n">
        <v>2.745964</v>
      </c>
      <c r="I149" s="20" t="n">
        <v>2.733828</v>
      </c>
      <c r="J149" s="20" t="n">
        <v>2.751542</v>
      </c>
      <c r="K149" s="20" t="n">
        <v>2.868008</v>
      </c>
      <c r="L149" s="20" t="n">
        <v>2.929556</v>
      </c>
      <c r="M149" s="20" t="n">
        <v>2.95069</v>
      </c>
      <c r="N149" s="20" t="n">
        <v>2.781024</v>
      </c>
      <c r="O149" s="20" t="n">
        <v>2.798692</v>
      </c>
      <c r="P149" s="20" t="n">
        <v>2.841924</v>
      </c>
      <c r="Q149" s="20" t="n">
        <v>2.828092</v>
      </c>
      <c r="R149" s="20" t="n">
        <v>2.794406</v>
      </c>
      <c r="S149" s="20" t="n">
        <v>2.811908</v>
      </c>
      <c r="T149" s="23">
        <f>IFERROR(AVERAGE(D149:S149),"")</f>
        <v/>
      </c>
    </row>
    <row r="150">
      <c r="A150" s="22" t="n">
        <v>44438</v>
      </c>
      <c r="B150" s="22" t="n">
        <v>44442</v>
      </c>
      <c r="C150">
        <f>TEXT(A150,"yyyy-mm")</f>
        <v/>
      </c>
      <c r="D150" s="20" t="n">
        <v>2.812156</v>
      </c>
      <c r="E150" s="20" t="n">
        <v>2.821072</v>
      </c>
      <c r="F150" s="20" t="n">
        <v>2.808346</v>
      </c>
      <c r="G150" s="20" t="n">
        <v>2.823046</v>
      </c>
      <c r="H150" s="20" t="n">
        <v>2.841106</v>
      </c>
      <c r="I150" s="20" t="n">
        <v>2.82875</v>
      </c>
      <c r="J150" s="20" t="n">
        <v>2.846568</v>
      </c>
      <c r="K150" s="20" t="n">
        <v>2.963048</v>
      </c>
      <c r="L150" s="20" t="n">
        <v>3.021732</v>
      </c>
      <c r="M150" s="20" t="n">
        <v>3.04253</v>
      </c>
      <c r="N150" s="20" t="n">
        <v>2.875598</v>
      </c>
      <c r="O150" s="20" t="n">
        <v>2.892984</v>
      </c>
      <c r="P150" s="20" t="n">
        <v>2.935516</v>
      </c>
      <c r="Q150" s="20" t="n">
        <v>2.921906</v>
      </c>
      <c r="R150" s="20" t="n">
        <v>2.888352</v>
      </c>
      <c r="S150" s="20" t="n">
        <v>2.90596</v>
      </c>
      <c r="T150" s="23">
        <f>IFERROR(AVERAGE(D150:S150),"")</f>
        <v/>
      </c>
    </row>
    <row r="151">
      <c r="A151" s="22" t="n">
        <v>44445</v>
      </c>
      <c r="B151" s="22" t="n">
        <v>44449</v>
      </c>
      <c r="C151">
        <f>TEXT(A151,"yyyy-mm")</f>
        <v/>
      </c>
      <c r="D151" s="20" t="n">
        <v>2.867953</v>
      </c>
      <c r="E151" s="20" t="n">
        <v>2.875673</v>
      </c>
      <c r="F151" s="20" t="n">
        <v>2.863263</v>
      </c>
      <c r="G151" s="20" t="n">
        <v>2.87764</v>
      </c>
      <c r="H151" s="20" t="n">
        <v>2.895315</v>
      </c>
      <c r="I151" s="20" t="n">
        <v>2.882885</v>
      </c>
      <c r="J151" s="20" t="n">
        <v>2.900828</v>
      </c>
      <c r="K151" s="20" t="n">
        <v>3.020373</v>
      </c>
      <c r="L151" s="20" t="n">
        <v>3.078755</v>
      </c>
      <c r="M151" s="20" t="n">
        <v>3.099873</v>
      </c>
      <c r="N151" s="20" t="n">
        <v>2.930343</v>
      </c>
      <c r="O151" s="20" t="n">
        <v>2.947998</v>
      </c>
      <c r="P151" s="20" t="n">
        <v>2.991193</v>
      </c>
      <c r="Q151" s="20" t="n">
        <v>2.977373</v>
      </c>
      <c r="R151" s="20" t="n">
        <v>2.943415</v>
      </c>
      <c r="S151" s="20" t="n">
        <v>2.96115</v>
      </c>
      <c r="T151" s="23">
        <f>IFERROR(AVERAGE(D151:S151),"")</f>
        <v/>
      </c>
    </row>
    <row r="152">
      <c r="A152" s="22" t="n">
        <v>44452</v>
      </c>
      <c r="B152" s="22" t="n">
        <v>44456</v>
      </c>
      <c r="C152">
        <f>TEXT(A152,"yyyy-mm")</f>
        <v/>
      </c>
      <c r="D152" s="20" t="n">
        <v>2.931372</v>
      </c>
      <c r="E152" s="20" t="n">
        <v>2.938292</v>
      </c>
      <c r="F152" s="20" t="n">
        <v>2.926208</v>
      </c>
      <c r="G152" s="20" t="n">
        <v>2.940178</v>
      </c>
      <c r="H152" s="20" t="n">
        <v>2.957348</v>
      </c>
      <c r="I152" s="20" t="n">
        <v>2.944856</v>
      </c>
      <c r="J152" s="20" t="n">
        <v>2.962592</v>
      </c>
      <c r="K152" s="20" t="n">
        <v>3.083394</v>
      </c>
      <c r="L152" s="20" t="n">
        <v>3.14088</v>
      </c>
      <c r="M152" s="20" t="n">
        <v>3.162012</v>
      </c>
      <c r="N152" s="20" t="n">
        <v>2.992394</v>
      </c>
      <c r="O152" s="20" t="n">
        <v>3.010058</v>
      </c>
      <c r="P152" s="20" t="n">
        <v>3.053276</v>
      </c>
      <c r="Q152" s="20" t="n">
        <v>3.039448</v>
      </c>
      <c r="R152" s="20" t="n">
        <v>3.005416</v>
      </c>
      <c r="S152" s="20" t="n">
        <v>3.02294</v>
      </c>
      <c r="T152" s="23">
        <f>IFERROR(AVERAGE(D152:S152),"")</f>
        <v/>
      </c>
    </row>
    <row r="153">
      <c r="A153" s="22" t="n">
        <v>44459</v>
      </c>
      <c r="B153" s="22" t="n">
        <v>44463</v>
      </c>
      <c r="C153">
        <f>TEXT(A153,"yyyy-mm")</f>
        <v/>
      </c>
      <c r="D153" s="20" t="n">
        <v>3.009462</v>
      </c>
      <c r="E153" s="20" t="n">
        <v>3.015812</v>
      </c>
      <c r="F153" s="20" t="n">
        <v>3.003846</v>
      </c>
      <c r="G153" s="20" t="n">
        <v>3.01774</v>
      </c>
      <c r="H153" s="20" t="n">
        <v>3.034828</v>
      </c>
      <c r="I153" s="20" t="n">
        <v>3.022306</v>
      </c>
      <c r="J153" s="20" t="n">
        <v>3.040266</v>
      </c>
      <c r="K153" s="20" t="n">
        <v>3.162532</v>
      </c>
      <c r="L153" s="20" t="n">
        <v>3.220112</v>
      </c>
      <c r="M153" s="20" t="n">
        <v>3.241444</v>
      </c>
      <c r="N153" s="20" t="n">
        <v>3.070208</v>
      </c>
      <c r="O153" s="20" t="n">
        <v>3.088042</v>
      </c>
      <c r="P153" s="20" t="n">
        <v>3.13167</v>
      </c>
      <c r="Q153" s="20" t="n">
        <v>3.117712</v>
      </c>
      <c r="R153" s="20" t="n">
        <v>3.083444</v>
      </c>
      <c r="S153" s="20" t="n">
        <v>3.101192</v>
      </c>
      <c r="T153" s="23">
        <f>IFERROR(AVERAGE(D153:S153),"")</f>
        <v/>
      </c>
    </row>
    <row r="154">
      <c r="A154" s="22" t="n">
        <v>44466</v>
      </c>
      <c r="B154" s="22" t="n">
        <v>44470</v>
      </c>
      <c r="C154">
        <f>TEXT(A154,"yyyy-mm")</f>
        <v/>
      </c>
      <c r="D154" s="20" t="n">
        <v>3.20768</v>
      </c>
      <c r="E154" s="20" t="n">
        <v>3.222492</v>
      </c>
      <c r="F154" s="20" t="n">
        <v>3.207072</v>
      </c>
      <c r="G154" s="20" t="n">
        <v>3.22465</v>
      </c>
      <c r="H154" s="20" t="n">
        <v>3.246212</v>
      </c>
      <c r="I154" s="20" t="n">
        <v>3.23444</v>
      </c>
      <c r="J154" s="20" t="n">
        <v>3.251886</v>
      </c>
      <c r="K154" s="20" t="n">
        <v>3.368898</v>
      </c>
      <c r="L154" s="20" t="n">
        <v>3.435166</v>
      </c>
      <c r="M154" s="20" t="n">
        <v>3.456918</v>
      </c>
      <c r="N154" s="20" t="n">
        <v>3.282294</v>
      </c>
      <c r="O154" s="20" t="n">
        <v>3.30048</v>
      </c>
      <c r="P154" s="20" t="n">
        <v>3.344974</v>
      </c>
      <c r="Q154" s="20" t="n">
        <v>3.330736</v>
      </c>
      <c r="R154" s="20" t="n">
        <v>3.296788</v>
      </c>
      <c r="S154" s="20" t="n">
        <v>3.314018</v>
      </c>
      <c r="T154" s="23">
        <f>IFERROR(AVERAGE(D154:S154),"")</f>
        <v/>
      </c>
    </row>
    <row r="155">
      <c r="A155" s="22" t="n">
        <v>44473</v>
      </c>
      <c r="B155" s="22" t="n">
        <v>44477</v>
      </c>
      <c r="C155">
        <f>TEXT(A155,"yyyy-mm")</f>
        <v/>
      </c>
      <c r="D155" s="20" t="n">
        <v>3.415708</v>
      </c>
      <c r="E155" s="20" t="n">
        <v>3.431848</v>
      </c>
      <c r="F155" s="20" t="n">
        <v>3.415808</v>
      </c>
      <c r="G155" s="20" t="n">
        <v>3.434022</v>
      </c>
      <c r="H155" s="20" t="n">
        <v>3.456348</v>
      </c>
      <c r="I155" s="20" t="n">
        <v>3.444716</v>
      </c>
      <c r="J155" s="20" t="n">
        <v>3.461952</v>
      </c>
      <c r="K155" s="20" t="n">
        <v>3.579614</v>
      </c>
      <c r="L155" s="20" t="n">
        <v>3.647612</v>
      </c>
      <c r="M155" s="20" t="n">
        <v>3.66963</v>
      </c>
      <c r="N155" s="20" t="n">
        <v>3.492872</v>
      </c>
      <c r="O155" s="20" t="n">
        <v>3.511284</v>
      </c>
      <c r="P155" s="20" t="n">
        <v>3.556316</v>
      </c>
      <c r="Q155" s="20" t="n">
        <v>3.541906</v>
      </c>
      <c r="R155" s="20" t="n">
        <v>3.507826</v>
      </c>
      <c r="S155" s="20" t="n">
        <v>3.524842</v>
      </c>
      <c r="T155" s="23">
        <f>IFERROR(AVERAGE(D155:S155),"")</f>
        <v/>
      </c>
    </row>
    <row r="156">
      <c r="A156" s="22" t="n">
        <v>44480</v>
      </c>
      <c r="B156" s="22" t="n">
        <v>44484</v>
      </c>
      <c r="C156">
        <f>TEXT(A156,"yyyy-mm")</f>
        <v/>
      </c>
      <c r="D156" s="20" t="n">
        <v>3.52768</v>
      </c>
      <c r="E156" s="20" t="n">
        <v>3.541516</v>
      </c>
      <c r="F156" s="20" t="n">
        <v>3.526332</v>
      </c>
      <c r="G156" s="20" t="n">
        <v>3.5436</v>
      </c>
      <c r="H156" s="20" t="n">
        <v>3.564776</v>
      </c>
      <c r="I156" s="20" t="n">
        <v>3.55296</v>
      </c>
      <c r="J156" s="20" t="n">
        <v>3.570194</v>
      </c>
      <c r="K156" s="20" t="n">
        <v>3.690924</v>
      </c>
      <c r="L156" s="20" t="n">
        <v>3.756958</v>
      </c>
      <c r="M156" s="20" t="n">
        <v>3.779084</v>
      </c>
      <c r="N156" s="20" t="n">
        <v>3.601472</v>
      </c>
      <c r="O156" s="20" t="n">
        <v>3.61997</v>
      </c>
      <c r="P156" s="20" t="n">
        <v>3.665224</v>
      </c>
      <c r="Q156" s="20" t="n">
        <v>3.650746</v>
      </c>
      <c r="R156" s="20" t="n">
        <v>3.616372</v>
      </c>
      <c r="S156" s="20" t="n">
        <v>3.633388</v>
      </c>
      <c r="T156" s="23">
        <f>IFERROR(AVERAGE(D156:S156),"")</f>
        <v/>
      </c>
    </row>
    <row r="157">
      <c r="A157" s="22" t="n">
        <v>44487</v>
      </c>
      <c r="B157" s="22" t="n">
        <v>44491</v>
      </c>
      <c r="C157">
        <f>TEXT(A157,"yyyy-mm")</f>
        <v/>
      </c>
      <c r="D157" s="20" t="n">
        <v>3.644282</v>
      </c>
      <c r="E157" s="20" t="n">
        <v>3.658894</v>
      </c>
      <c r="F157" s="20" t="n">
        <v>3.64324</v>
      </c>
      <c r="G157" s="20" t="n">
        <v>3.661058</v>
      </c>
      <c r="H157" s="20" t="n">
        <v>3.682906</v>
      </c>
      <c r="I157" s="20" t="n">
        <v>3.671186</v>
      </c>
      <c r="J157" s="20" t="n">
        <v>3.68855</v>
      </c>
      <c r="K157" s="20" t="n">
        <v>3.810504</v>
      </c>
      <c r="L157" s="20" t="n">
        <v>3.878208</v>
      </c>
      <c r="M157" s="20" t="n">
        <v>3.90069</v>
      </c>
      <c r="N157" s="20" t="n">
        <v>3.7202</v>
      </c>
      <c r="O157" s="20" t="n">
        <v>3.738998</v>
      </c>
      <c r="P157" s="20" t="n">
        <v>3.784984</v>
      </c>
      <c r="Q157" s="20" t="n">
        <v>3.770268</v>
      </c>
      <c r="R157" s="20" t="n">
        <v>3.73563</v>
      </c>
      <c r="S157" s="20" t="n">
        <v>3.752766</v>
      </c>
      <c r="T157" s="23">
        <f>IFERROR(AVERAGE(D157:S157),"")</f>
        <v/>
      </c>
    </row>
    <row r="158">
      <c r="A158" s="22" t="n">
        <v>44494</v>
      </c>
      <c r="B158" s="22" t="n">
        <v>44498</v>
      </c>
      <c r="C158">
        <f>TEXT(A158,"yyyy-mm")</f>
        <v/>
      </c>
      <c r="D158" s="20" t="n">
        <v>3.63067</v>
      </c>
      <c r="E158" s="20" t="n">
        <v>3.655018</v>
      </c>
      <c r="F158" s="20" t="n">
        <v>3.635636</v>
      </c>
      <c r="G158" s="20" t="n">
        <v>3.65738</v>
      </c>
      <c r="H158" s="20" t="n">
        <v>3.683992</v>
      </c>
      <c r="I158" s="20" t="n">
        <v>3.673092</v>
      </c>
      <c r="J158" s="20" t="n">
        <v>3.689688</v>
      </c>
      <c r="K158" s="20" t="n">
        <v>3.802508</v>
      </c>
      <c r="L158" s="20" t="n">
        <v>3.878832</v>
      </c>
      <c r="M158" s="20" t="n">
        <v>3.901262</v>
      </c>
      <c r="N158" s="20" t="n">
        <v>3.721198</v>
      </c>
      <c r="O158" s="20" t="n">
        <v>3.739954</v>
      </c>
      <c r="P158" s="20" t="n">
        <v>3.785832</v>
      </c>
      <c r="Q158" s="20" t="n">
        <v>3.771152</v>
      </c>
      <c r="R158" s="20" t="n">
        <v>3.737382</v>
      </c>
      <c r="S158" s="20" t="n">
        <v>3.753752</v>
      </c>
      <c r="T158" s="23">
        <f>IFERROR(AVERAGE(D158:S158),"")</f>
        <v/>
      </c>
    </row>
    <row r="159">
      <c r="A159" s="22" t="n">
        <v>44501</v>
      </c>
      <c r="B159" s="22" t="n">
        <v>44505</v>
      </c>
      <c r="C159">
        <f>TEXT(A159,"yyyy-mm")</f>
        <v/>
      </c>
      <c r="D159" s="20" t="n">
        <v>3.595538</v>
      </c>
      <c r="E159" s="20" t="n">
        <v>3.63228</v>
      </c>
      <c r="F159" s="20" t="n">
        <v>3.608028</v>
      </c>
      <c r="G159" s="20" t="n">
        <v>3.635032</v>
      </c>
      <c r="H159" s="20" t="n">
        <v>3.668042</v>
      </c>
      <c r="I159" s="20" t="n">
        <v>3.658192</v>
      </c>
      <c r="J159" s="20" t="n">
        <v>3.67432</v>
      </c>
      <c r="K159" s="20" t="n">
        <v>3.775862</v>
      </c>
      <c r="L159" s="20" t="n">
        <v>3.864006</v>
      </c>
      <c r="M159" s="20" t="n">
        <v>3.886568</v>
      </c>
      <c r="N159" s="20" t="n">
        <v>3.705462</v>
      </c>
      <c r="O159" s="20" t="n">
        <v>3.724324</v>
      </c>
      <c r="P159" s="20" t="n">
        <v>3.770468</v>
      </c>
      <c r="Q159" s="20" t="n">
        <v>3.755702</v>
      </c>
      <c r="R159" s="20" t="n">
        <v>3.722856</v>
      </c>
      <c r="S159" s="20" t="n">
        <v>3.738758</v>
      </c>
      <c r="T159" s="23">
        <f>IFERROR(AVERAGE(D159:S159),"")</f>
        <v/>
      </c>
    </row>
    <row r="160">
      <c r="A160" s="22" t="n">
        <v>44508</v>
      </c>
      <c r="B160" s="22" t="n">
        <v>44512</v>
      </c>
      <c r="C160">
        <f>TEXT(A160,"yyyy-mm")</f>
        <v/>
      </c>
      <c r="D160" s="20" t="n">
        <v>3.503878</v>
      </c>
      <c r="E160" s="20" t="n">
        <v>3.540914</v>
      </c>
      <c r="F160" s="20" t="n">
        <v>3.516804</v>
      </c>
      <c r="G160" s="20" t="n">
        <v>3.543612</v>
      </c>
      <c r="H160" s="20" t="n">
        <v>3.576374</v>
      </c>
      <c r="I160" s="20" t="n">
        <v>3.566494</v>
      </c>
      <c r="J160" s="20" t="n">
        <v>3.582452</v>
      </c>
      <c r="K160" s="20" t="n">
        <v>3.680446</v>
      </c>
      <c r="L160" s="20" t="n">
        <v>3.767444</v>
      </c>
      <c r="M160" s="20" t="n">
        <v>3.78944</v>
      </c>
      <c r="N160" s="20" t="n">
        <v>3.612858</v>
      </c>
      <c r="O160" s="20" t="n">
        <v>3.631248</v>
      </c>
      <c r="P160" s="20" t="n">
        <v>3.676238</v>
      </c>
      <c r="Q160" s="20" t="n">
        <v>3.661842</v>
      </c>
      <c r="R160" s="20" t="n">
        <v>3.629544</v>
      </c>
      <c r="S160" s="20" t="n">
        <v>3.64528</v>
      </c>
      <c r="T160" s="23">
        <f>IFERROR(AVERAGE(D160:S160),"")</f>
        <v/>
      </c>
    </row>
    <row r="161">
      <c r="A161" s="22" t="n">
        <v>44515</v>
      </c>
      <c r="B161" s="22" t="n">
        <v>44519</v>
      </c>
      <c r="C161">
        <f>TEXT(A161,"yyyy-mm")</f>
        <v/>
      </c>
      <c r="D161" s="20" t="n">
        <v>3.41845</v>
      </c>
      <c r="E161" s="20" t="n">
        <v>3.449168</v>
      </c>
      <c r="F161" s="20" t="n">
        <v>3.427418</v>
      </c>
      <c r="G161" s="20" t="n">
        <v>3.45168</v>
      </c>
      <c r="H161" s="20" t="n">
        <v>3.48135</v>
      </c>
      <c r="I161" s="20" t="n">
        <v>3.47096</v>
      </c>
      <c r="J161" s="20" t="n">
        <v>3.48716</v>
      </c>
      <c r="K161" s="20" t="n">
        <v>3.592676</v>
      </c>
      <c r="L161" s="20" t="n">
        <v>3.674304</v>
      </c>
      <c r="M161" s="20" t="n">
        <v>3.696522</v>
      </c>
      <c r="N161" s="20" t="n">
        <v>3.518194</v>
      </c>
      <c r="O161" s="20" t="n">
        <v>3.536768</v>
      </c>
      <c r="P161" s="20" t="n">
        <v>3.582204</v>
      </c>
      <c r="Q161" s="20" t="n">
        <v>3.567664</v>
      </c>
      <c r="R161" s="20" t="n">
        <v>3.534632</v>
      </c>
      <c r="S161" s="20" t="n">
        <v>3.55061</v>
      </c>
      <c r="T161" s="23">
        <f>IFERROR(AVERAGE(D161:S161),"")</f>
        <v/>
      </c>
    </row>
    <row r="162">
      <c r="A162" s="22" t="n">
        <v>44522</v>
      </c>
      <c r="B162" s="22" t="n">
        <v>44524</v>
      </c>
      <c r="C162">
        <f>TEXT(A162,"yyyy-mm")</f>
        <v/>
      </c>
      <c r="D162" s="20" t="n">
        <v>3.369963</v>
      </c>
      <c r="E162" s="20" t="n">
        <v>3.394973</v>
      </c>
      <c r="F162" s="20" t="n">
        <v>3.375313</v>
      </c>
      <c r="G162" s="20" t="n">
        <v>3.397343</v>
      </c>
      <c r="H162" s="20" t="n">
        <v>3.424297</v>
      </c>
      <c r="I162" s="20" t="n">
        <v>3.413453</v>
      </c>
      <c r="J162" s="20" t="n">
        <v>3.429957</v>
      </c>
      <c r="K162" s="20" t="n">
        <v>3.542617</v>
      </c>
      <c r="L162" s="20" t="n">
        <v>3.619637</v>
      </c>
      <c r="M162" s="20" t="n">
        <v>3.642127</v>
      </c>
      <c r="N162" s="20" t="n">
        <v>3.4616</v>
      </c>
      <c r="O162" s="20" t="n">
        <v>3.4804</v>
      </c>
      <c r="P162" s="20" t="n">
        <v>3.526397</v>
      </c>
      <c r="Q162" s="20" t="n">
        <v>3.51168</v>
      </c>
      <c r="R162" s="20" t="n">
        <v>3.477913</v>
      </c>
      <c r="S162" s="20" t="n">
        <v>3.49419</v>
      </c>
      <c r="T162" s="23">
        <f>IFERROR(AVERAGE(D162:S162),"")</f>
        <v/>
      </c>
    </row>
    <row r="163">
      <c r="A163" s="22" t="n">
        <v>44529</v>
      </c>
      <c r="B163" s="22" t="n">
        <v>44533</v>
      </c>
      <c r="C163">
        <f>TEXT(A163,"yyyy-mm")</f>
        <v/>
      </c>
      <c r="D163" s="20" t="n">
        <v>3.13422</v>
      </c>
      <c r="E163" s="20" t="n">
        <v>3.15762</v>
      </c>
      <c r="F163" s="20" t="n">
        <v>3.138482</v>
      </c>
      <c r="G163" s="20" t="n">
        <v>3.159988</v>
      </c>
      <c r="H163" s="20" t="n">
        <v>3.186308</v>
      </c>
      <c r="I163" s="20" t="n">
        <v>3.17535</v>
      </c>
      <c r="J163" s="20" t="n">
        <v>3.192064</v>
      </c>
      <c r="K163" s="20" t="n">
        <v>3.30734</v>
      </c>
      <c r="L163" s="20" t="n">
        <v>3.383462</v>
      </c>
      <c r="M163" s="20" t="n">
        <v>3.40616</v>
      </c>
      <c r="N163" s="20" t="n">
        <v>3.223956</v>
      </c>
      <c r="O163" s="20" t="n">
        <v>3.242932</v>
      </c>
      <c r="P163" s="20" t="n">
        <v>3.289356</v>
      </c>
      <c r="Q163" s="20" t="n">
        <v>3.274504</v>
      </c>
      <c r="R163" s="20" t="n">
        <v>3.240406</v>
      </c>
      <c r="S163" s="20" t="n">
        <v>3.25689</v>
      </c>
      <c r="T163" s="23">
        <f>IFERROR(AVERAGE(D163:S163),"")</f>
        <v/>
      </c>
    </row>
    <row r="164">
      <c r="A164" s="22" t="n">
        <v>44536</v>
      </c>
      <c r="B164" s="22" t="n">
        <v>44540</v>
      </c>
      <c r="C164">
        <f>TEXT(A164,"yyyy-mm")</f>
        <v/>
      </c>
      <c r="D164" s="20" t="n">
        <v>3.216806</v>
      </c>
      <c r="E164" s="20" t="n">
        <v>3.25121</v>
      </c>
      <c r="F164" s="20" t="n">
        <v>3.227898</v>
      </c>
      <c r="G164" s="20" t="n">
        <v>3.253832</v>
      </c>
      <c r="H164" s="20" t="n">
        <v>3.28553</v>
      </c>
      <c r="I164" s="20" t="n">
        <v>3.275484</v>
      </c>
      <c r="J164" s="20" t="n">
        <v>3.291474</v>
      </c>
      <c r="K164" s="20" t="n">
        <v>3.39547</v>
      </c>
      <c r="L164" s="20" t="n">
        <v>3.481188</v>
      </c>
      <c r="M164" s="20" t="n">
        <v>3.503714</v>
      </c>
      <c r="N164" s="20" t="n">
        <v>3.32289</v>
      </c>
      <c r="O164" s="20" t="n">
        <v>3.341724</v>
      </c>
      <c r="P164" s="20" t="n">
        <v>3.387798</v>
      </c>
      <c r="Q164" s="20" t="n">
        <v>3.373054</v>
      </c>
      <c r="R164" s="20" t="n">
        <v>3.340046</v>
      </c>
      <c r="S164" s="20" t="n">
        <v>3.355806</v>
      </c>
      <c r="T164" s="23">
        <f>IFERROR(AVERAGE(D164:S164),"")</f>
        <v/>
      </c>
    </row>
    <row r="165">
      <c r="A165" s="22" t="n">
        <v>44543</v>
      </c>
      <c r="B165" s="22" t="n">
        <v>44547</v>
      </c>
      <c r="C165">
        <f>TEXT(A165,"yyyy-mm")</f>
        <v/>
      </c>
      <c r="D165" s="20" t="n">
        <v>3.32159</v>
      </c>
      <c r="E165" s="20" t="n">
        <v>3.361448</v>
      </c>
      <c r="F165" s="20" t="n">
        <v>3.335878</v>
      </c>
      <c r="G165" s="20" t="n">
        <v>3.364248</v>
      </c>
      <c r="H165" s="20" t="n">
        <v>3.398916</v>
      </c>
      <c r="I165" s="20" t="n">
        <v>3.389356</v>
      </c>
      <c r="J165" s="20" t="n">
        <v>3.405124</v>
      </c>
      <c r="K165" s="20" t="n">
        <v>3.505906</v>
      </c>
      <c r="L165" s="20" t="n">
        <v>3.597444</v>
      </c>
      <c r="M165" s="20" t="n">
        <v>3.620302</v>
      </c>
      <c r="N165" s="20" t="n">
        <v>3.436824</v>
      </c>
      <c r="O165" s="20" t="n">
        <v>3.455932</v>
      </c>
      <c r="P165" s="20" t="n">
        <v>3.502682</v>
      </c>
      <c r="Q165" s="20" t="n">
        <v>3.487724</v>
      </c>
      <c r="R165" s="20" t="n">
        <v>3.454866</v>
      </c>
      <c r="S165" s="20" t="n">
        <v>3.470404</v>
      </c>
      <c r="T165" s="23">
        <f>IFERROR(AVERAGE(D165:S165),"")</f>
        <v/>
      </c>
    </row>
    <row r="166">
      <c r="A166" s="22" t="n">
        <v>44550</v>
      </c>
      <c r="B166" s="22" t="n">
        <v>44553</v>
      </c>
      <c r="C166">
        <f>TEXT(A166,"yyyy-mm")</f>
        <v/>
      </c>
      <c r="D166" s="20" t="n">
        <v>3.32321</v>
      </c>
      <c r="E166" s="20" t="n">
        <v>3.357788</v>
      </c>
      <c r="F166" s="20" t="n">
        <v>3.334275</v>
      </c>
      <c r="G166" s="20" t="n">
        <v>3.360328</v>
      </c>
      <c r="H166" s="20" t="n">
        <v>3.392153</v>
      </c>
      <c r="I166" s="20" t="n">
        <v>3.382158</v>
      </c>
      <c r="J166" s="20" t="n">
        <v>3.397718</v>
      </c>
      <c r="K166" s="20" t="n">
        <v>3.504688</v>
      </c>
      <c r="L166" s="20" t="n">
        <v>3.591128</v>
      </c>
      <c r="M166" s="20" t="n">
        <v>3.614035</v>
      </c>
      <c r="N166" s="20" t="n">
        <v>3.43015</v>
      </c>
      <c r="O166" s="20" t="n">
        <v>3.4493</v>
      </c>
      <c r="P166" s="20" t="n">
        <v>3.496153</v>
      </c>
      <c r="Q166" s="20" t="n">
        <v>3.48116</v>
      </c>
      <c r="R166" s="20" t="n">
        <v>3.447818</v>
      </c>
      <c r="S166" s="20" t="n">
        <v>3.463143</v>
      </c>
      <c r="T166" s="23">
        <f>IFERROR(AVERAGE(D166:S166),"")</f>
        <v/>
      </c>
    </row>
    <row r="167">
      <c r="A167" s="22" t="n">
        <v>44557</v>
      </c>
      <c r="B167" s="22" t="n">
        <v>44560</v>
      </c>
      <c r="C167">
        <f>TEXT(A167,"yyyy-mm")</f>
        <v/>
      </c>
      <c r="D167" s="20" t="n">
        <v>3.433928</v>
      </c>
      <c r="E167" s="20" t="n">
        <v>3.46615</v>
      </c>
      <c r="F167" s="20" t="n">
        <v>3.443658</v>
      </c>
      <c r="G167" s="20" t="n">
        <v>3.46865</v>
      </c>
      <c r="H167" s="20" t="n">
        <v>3.499185</v>
      </c>
      <c r="I167" s="20" t="n">
        <v>3.488968</v>
      </c>
      <c r="J167" s="20" t="n">
        <v>3.50477</v>
      </c>
      <c r="K167" s="20" t="n">
        <v>3.612065</v>
      </c>
      <c r="L167" s="20" t="n">
        <v>3.695813</v>
      </c>
      <c r="M167" s="20" t="n">
        <v>3.718453</v>
      </c>
      <c r="N167" s="20" t="n">
        <v>3.536733</v>
      </c>
      <c r="O167" s="20" t="n">
        <v>3.555658</v>
      </c>
      <c r="P167" s="20" t="n">
        <v>3.601958</v>
      </c>
      <c r="Q167" s="20" t="n">
        <v>3.587143</v>
      </c>
      <c r="R167" s="20" t="n">
        <v>3.55385</v>
      </c>
      <c r="S167" s="20" t="n">
        <v>3.569425</v>
      </c>
      <c r="T167" s="23">
        <f>IFERROR(AVERAGE(D167:S167),"")</f>
        <v/>
      </c>
    </row>
    <row r="168">
      <c r="A168" s="22" t="n">
        <v>44564</v>
      </c>
      <c r="B168" s="22" t="n">
        <v>44568</v>
      </c>
      <c r="C168">
        <f>TEXT(A168,"yyyy-mm")</f>
        <v/>
      </c>
      <c r="D168" s="20" t="n">
        <v>3.52968</v>
      </c>
      <c r="E168" s="20" t="n">
        <v>3.557018</v>
      </c>
      <c r="F168" s="20" t="n">
        <v>3.536562</v>
      </c>
      <c r="G168" s="20" t="n">
        <v>3.559442</v>
      </c>
      <c r="H168" s="20" t="n">
        <v>3.588084</v>
      </c>
      <c r="I168" s="20" t="n">
        <v>3.577134</v>
      </c>
      <c r="J168" s="20" t="n">
        <v>3.594144</v>
      </c>
      <c r="K168" s="20" t="n">
        <v>3.706058</v>
      </c>
      <c r="L168" s="20" t="n">
        <v>3.785984</v>
      </c>
      <c r="M168" s="20" t="n">
        <v>3.808768</v>
      </c>
      <c r="N168" s="20" t="n">
        <v>3.625872</v>
      </c>
      <c r="O168" s="20" t="n">
        <v>3.644922</v>
      </c>
      <c r="P168" s="20" t="n">
        <v>3.691518</v>
      </c>
      <c r="Q168" s="20" t="n">
        <v>3.67661</v>
      </c>
      <c r="R168" s="20" t="n">
        <v>3.642444</v>
      </c>
      <c r="S168" s="20" t="n">
        <v>3.659216</v>
      </c>
      <c r="T168" s="23">
        <f>IFERROR(AVERAGE(D168:S168),"")</f>
        <v/>
      </c>
    </row>
    <row r="169">
      <c r="A169" s="22" t="n">
        <v>44571</v>
      </c>
      <c r="B169" s="22" t="n">
        <v>44575</v>
      </c>
      <c r="C169">
        <f>TEXT(A169,"yyyy-mm")</f>
        <v/>
      </c>
      <c r="D169" s="20" t="n">
        <v>3.657864</v>
      </c>
      <c r="E169" s="20" t="n">
        <v>3.686334</v>
      </c>
      <c r="F169" s="20" t="n">
        <v>3.665652</v>
      </c>
      <c r="G169" s="20" t="n">
        <v>3.688712</v>
      </c>
      <c r="H169" s="20" t="n">
        <v>3.717576</v>
      </c>
      <c r="I169" s="20" t="n">
        <v>3.706684</v>
      </c>
      <c r="J169" s="20" t="n">
        <v>3.723406</v>
      </c>
      <c r="K169" s="20" t="n">
        <v>3.831946</v>
      </c>
      <c r="L169" s="20" t="n">
        <v>3.911744</v>
      </c>
      <c r="M169" s="20" t="n">
        <v>3.9341</v>
      </c>
      <c r="N169" s="20" t="n">
        <v>3.75465</v>
      </c>
      <c r="O169" s="20" t="n">
        <v>3.773344</v>
      </c>
      <c r="P169" s="20" t="n">
        <v>3.819064</v>
      </c>
      <c r="Q169" s="20" t="n">
        <v>3.804432</v>
      </c>
      <c r="R169" s="20" t="n">
        <v>3.770756</v>
      </c>
      <c r="S169" s="20" t="n">
        <v>3.787254</v>
      </c>
      <c r="T169" s="23">
        <f>IFERROR(AVERAGE(D169:S169),"")</f>
        <v/>
      </c>
    </row>
    <row r="170">
      <c r="A170" s="22" t="n">
        <v>44578</v>
      </c>
      <c r="B170" s="22" t="n">
        <v>44582</v>
      </c>
      <c r="C170">
        <f>TEXT(A170,"yyyy-mm")</f>
        <v/>
      </c>
      <c r="D170" s="20" t="n">
        <v>3.783715</v>
      </c>
      <c r="E170" s="20" t="n">
        <v>3.809283</v>
      </c>
      <c r="F170" s="20" t="n">
        <v>3.789868</v>
      </c>
      <c r="G170" s="20" t="n">
        <v>3.811568</v>
      </c>
      <c r="H170" s="20" t="n">
        <v>3.83873</v>
      </c>
      <c r="I170" s="20" t="n">
        <v>3.82758</v>
      </c>
      <c r="J170" s="20" t="n">
        <v>3.844418</v>
      </c>
      <c r="K170" s="20" t="n">
        <v>3.95341</v>
      </c>
      <c r="L170" s="20" t="n">
        <v>4.02968</v>
      </c>
      <c r="M170" s="20" t="n">
        <v>4.051665</v>
      </c>
      <c r="N170" s="20" t="n">
        <v>3.87519</v>
      </c>
      <c r="O170" s="20" t="n">
        <v>3.893573</v>
      </c>
      <c r="P170" s="20" t="n">
        <v>3.938535</v>
      </c>
      <c r="Q170" s="20" t="n">
        <v>3.924148</v>
      </c>
      <c r="R170" s="20" t="n">
        <v>3.890588</v>
      </c>
      <c r="S170" s="20" t="n">
        <v>3.907203</v>
      </c>
      <c r="T170" s="23">
        <f>IFERROR(AVERAGE(D170:S170),"")</f>
        <v/>
      </c>
    </row>
    <row r="171">
      <c r="A171" s="22" t="n">
        <v>44585</v>
      </c>
      <c r="B171" s="22" t="n">
        <v>44589</v>
      </c>
      <c r="C171">
        <f>TEXT(A171,"yyyy-mm")</f>
        <v/>
      </c>
      <c r="D171" s="20" t="n">
        <v>3.762654</v>
      </c>
      <c r="E171" s="20" t="n">
        <v>3.785228</v>
      </c>
      <c r="F171" s="20" t="n">
        <v>3.76703</v>
      </c>
      <c r="G171" s="20" t="n">
        <v>3.787422</v>
      </c>
      <c r="H171" s="20" t="n">
        <v>3.812948</v>
      </c>
      <c r="I171" s="20" t="n">
        <v>3.801554</v>
      </c>
      <c r="J171" s="20" t="n">
        <v>3.818474</v>
      </c>
      <c r="K171" s="20" t="n">
        <v>3.929398</v>
      </c>
      <c r="L171" s="20" t="n">
        <v>4.002532</v>
      </c>
      <c r="M171" s="20" t="n">
        <v>4.024358</v>
      </c>
      <c r="N171" s="20" t="n">
        <v>3.84915</v>
      </c>
      <c r="O171" s="20" t="n">
        <v>3.867398</v>
      </c>
      <c r="P171" s="20" t="n">
        <v>3.912036</v>
      </c>
      <c r="Q171" s="20" t="n">
        <v>3.897754</v>
      </c>
      <c r="R171" s="20" t="n">
        <v>3.86411</v>
      </c>
      <c r="S171" s="20" t="n">
        <v>3.88081</v>
      </c>
      <c r="T171" s="23">
        <f>IFERROR(AVERAGE(D171:S171),"")</f>
        <v/>
      </c>
    </row>
    <row r="172">
      <c r="A172" s="22" t="n">
        <v>44592</v>
      </c>
      <c r="B172" s="22" t="n">
        <v>44596</v>
      </c>
      <c r="C172">
        <f>TEXT(A172,"yyyy-mm")</f>
        <v/>
      </c>
      <c r="D172" s="20" t="n">
        <v>3.807706</v>
      </c>
      <c r="E172" s="20" t="n">
        <v>3.83005</v>
      </c>
      <c r="F172" s="20" t="n">
        <v>3.81217</v>
      </c>
      <c r="G172" s="20" t="n">
        <v>3.832248</v>
      </c>
      <c r="H172" s="20" t="n">
        <v>3.857394</v>
      </c>
      <c r="I172" s="20" t="n">
        <v>3.845932</v>
      </c>
      <c r="J172" s="20" t="n">
        <v>3.862994</v>
      </c>
      <c r="K172" s="20" t="n">
        <v>3.97042</v>
      </c>
      <c r="L172" s="20" t="n">
        <v>4.04217</v>
      </c>
      <c r="M172" s="20" t="n">
        <v>4.063444</v>
      </c>
      <c r="N172" s="20" t="n">
        <v>3.892676</v>
      </c>
      <c r="O172" s="20" t="n">
        <v>3.910462</v>
      </c>
      <c r="P172" s="20" t="n">
        <v>3.953972</v>
      </c>
      <c r="Q172" s="20" t="n">
        <v>3.94005</v>
      </c>
      <c r="R172" s="20" t="n">
        <v>3.906904</v>
      </c>
      <c r="S172" s="20" t="n">
        <v>3.92375</v>
      </c>
      <c r="T172" s="23">
        <f>IFERROR(AVERAGE(D172:S172),"")</f>
        <v/>
      </c>
    </row>
    <row r="173">
      <c r="A173" s="22" t="n">
        <v>44599</v>
      </c>
      <c r="B173" s="22" t="n">
        <v>44603</v>
      </c>
      <c r="C173">
        <f>TEXT(A173,"yyyy-mm")</f>
        <v/>
      </c>
      <c r="D173" s="20" t="n">
        <v>3.910236</v>
      </c>
      <c r="E173" s="20" t="n">
        <v>3.938262</v>
      </c>
      <c r="F173" s="20" t="n">
        <v>3.918328</v>
      </c>
      <c r="G173" s="20" t="n">
        <v>3.940512</v>
      </c>
      <c r="H173" s="20" t="n">
        <v>3.968272</v>
      </c>
      <c r="I173" s="20" t="n">
        <v>3.957234</v>
      </c>
      <c r="J173" s="20" t="n">
        <v>3.97372</v>
      </c>
      <c r="K173" s="20" t="n">
        <v>4.074876000000001</v>
      </c>
      <c r="L173" s="20" t="n">
        <v>4.151058</v>
      </c>
      <c r="M173" s="20" t="n">
        <v>4.172102</v>
      </c>
      <c r="N173" s="20" t="n">
        <v>4.003176</v>
      </c>
      <c r="O173" s="20" t="n">
        <v>4.02077</v>
      </c>
      <c r="P173" s="20" t="n">
        <v>4.063812</v>
      </c>
      <c r="Q173" s="20" t="n">
        <v>4.050036</v>
      </c>
      <c r="R173" s="20" t="n">
        <v>4.01755</v>
      </c>
      <c r="S173" s="20" t="n">
        <v>4.033824</v>
      </c>
      <c r="T173" s="23">
        <f>IFERROR(AVERAGE(D173:S173),"")</f>
        <v/>
      </c>
    </row>
    <row r="174">
      <c r="A174" s="22" t="n">
        <v>44606</v>
      </c>
      <c r="B174" s="22" t="n">
        <v>44610</v>
      </c>
      <c r="C174">
        <f>TEXT(A174,"yyyy-mm")</f>
        <v/>
      </c>
      <c r="D174" s="20" t="n">
        <v>3.893578</v>
      </c>
      <c r="E174" s="20" t="n">
        <v>3.929118</v>
      </c>
      <c r="F174" s="20" t="n">
        <v>3.906434</v>
      </c>
      <c r="G174" s="20" t="n">
        <v>3.931556</v>
      </c>
      <c r="H174" s="20" t="n">
        <v>3.962974</v>
      </c>
      <c r="I174" s="20" t="n">
        <v>3.952498</v>
      </c>
      <c r="J174" s="20" t="n">
        <v>3.968672</v>
      </c>
      <c r="K174" s="20" t="n">
        <v>4.060826</v>
      </c>
      <c r="L174" s="20" t="n">
        <v>4.143243999999999</v>
      </c>
      <c r="M174" s="20" t="n">
        <v>4.164</v>
      </c>
      <c r="N174" s="20" t="n">
        <v>3.997398</v>
      </c>
      <c r="O174" s="20" t="n">
        <v>4.01475</v>
      </c>
      <c r="P174" s="20" t="n">
        <v>4.057198</v>
      </c>
      <c r="Q174" s="20" t="n">
        <v>4.043618</v>
      </c>
      <c r="R174" s="20" t="n">
        <v>4.011986</v>
      </c>
      <c r="S174" s="20" t="n">
        <v>4.027946</v>
      </c>
      <c r="T174" s="23">
        <f>IFERROR(AVERAGE(D174:S174),"")</f>
        <v/>
      </c>
    </row>
    <row r="175">
      <c r="A175" s="22" t="n">
        <v>44613</v>
      </c>
      <c r="B175" s="22" t="n">
        <v>44617</v>
      </c>
      <c r="C175">
        <f>TEXT(A175,"yyyy-mm")</f>
        <v/>
      </c>
      <c r="D175" s="20" t="n">
        <v>3.751415</v>
      </c>
      <c r="E175" s="20" t="n">
        <v>3.795265</v>
      </c>
      <c r="F175" s="20" t="n">
        <v>3.769528</v>
      </c>
      <c r="G175" s="20" t="n">
        <v>3.797988</v>
      </c>
      <c r="H175" s="20" t="n">
        <v>3.833573</v>
      </c>
      <c r="I175" s="20" t="n">
        <v>3.823713</v>
      </c>
      <c r="J175" s="20" t="n">
        <v>3.839833</v>
      </c>
      <c r="K175" s="20" t="n">
        <v>3.921385</v>
      </c>
      <c r="L175" s="20" t="n">
        <v>4.010888</v>
      </c>
      <c r="M175" s="20" t="n">
        <v>4.0313</v>
      </c>
      <c r="N175" s="20" t="n">
        <v>3.867428</v>
      </c>
      <c r="O175" s="20" t="n">
        <v>3.884498</v>
      </c>
      <c r="P175" s="20" t="n">
        <v>3.92625</v>
      </c>
      <c r="Q175" s="20" t="n">
        <v>3.91289</v>
      </c>
      <c r="R175" s="20" t="n">
        <v>3.88222</v>
      </c>
      <c r="S175" s="20" t="n">
        <v>3.898138</v>
      </c>
      <c r="T175" s="23">
        <f>IFERROR(AVERAGE(D175:S175),"")</f>
        <v/>
      </c>
    </row>
    <row r="176">
      <c r="A176" s="22" t="n">
        <v>44620</v>
      </c>
      <c r="B176" s="22" t="n">
        <v>44624</v>
      </c>
      <c r="C176">
        <f>TEXT(A176,"yyyy-mm")</f>
        <v/>
      </c>
      <c r="D176" s="20" t="n">
        <v>4.40848</v>
      </c>
      <c r="E176" s="20" t="n">
        <v>4.459926</v>
      </c>
      <c r="F176" s="20" t="n">
        <v>4.431264000000001</v>
      </c>
      <c r="G176" s="20" t="n">
        <v>4.46276</v>
      </c>
      <c r="H176" s="20" t="n">
        <v>4.502108</v>
      </c>
      <c r="I176" s="20" t="n">
        <v>4.492852</v>
      </c>
      <c r="J176" s="20" t="n">
        <v>4.508282</v>
      </c>
      <c r="K176" s="20" t="n">
        <v>4.58384</v>
      </c>
      <c r="L176" s="20" t="n">
        <v>4.680258</v>
      </c>
      <c r="M176" s="20" t="n">
        <v>4.700768</v>
      </c>
      <c r="N176" s="20" t="n">
        <v>4.536126</v>
      </c>
      <c r="O176" s="20" t="n">
        <v>4.553274</v>
      </c>
      <c r="P176" s="20" t="n">
        <v>4.595224</v>
      </c>
      <c r="Q176" s="20" t="n">
        <v>4.581804</v>
      </c>
      <c r="R176" s="20" t="n">
        <v>4.551636</v>
      </c>
      <c r="S176" s="20" t="n">
        <v>4.566864</v>
      </c>
      <c r="T176" s="23">
        <f>IFERROR(AVERAGE(D176:S176),"")</f>
        <v/>
      </c>
    </row>
    <row r="177">
      <c r="A177" s="22" t="n">
        <v>44627</v>
      </c>
      <c r="B177" s="22" t="n">
        <v>44631</v>
      </c>
      <c r="C177">
        <f>TEXT(A177,"yyyy-mm")</f>
        <v/>
      </c>
      <c r="D177" s="20" t="n">
        <v>5.186262</v>
      </c>
      <c r="E177" s="20" t="n">
        <v>5.242196</v>
      </c>
      <c r="F177" s="20" t="n">
        <v>5.211912</v>
      </c>
      <c r="G177" s="20" t="n">
        <v>5.245194000000001</v>
      </c>
      <c r="H177" s="20" t="n">
        <v>5.28679</v>
      </c>
      <c r="I177" s="20" t="n">
        <v>5.277856</v>
      </c>
      <c r="J177" s="20" t="n">
        <v>5.293337999999999</v>
      </c>
      <c r="K177" s="20" t="n">
        <v>5.3626</v>
      </c>
      <c r="L177" s="20" t="n">
        <v>5.46274</v>
      </c>
      <c r="M177" s="20" t="n">
        <v>5.482994</v>
      </c>
      <c r="N177" s="20" t="n">
        <v>5.320386</v>
      </c>
      <c r="O177" s="20" t="n">
        <v>5.337326</v>
      </c>
      <c r="P177" s="20" t="n">
        <v>5.378754</v>
      </c>
      <c r="Q177" s="20" t="n">
        <v>5.365498</v>
      </c>
      <c r="R177" s="20" t="n">
        <v>5.335916</v>
      </c>
      <c r="S177" s="20" t="n">
        <v>5.351192</v>
      </c>
      <c r="T177" s="23">
        <f>IFERROR(AVERAGE(D177:S177),"")</f>
        <v/>
      </c>
    </row>
    <row r="178">
      <c r="A178" s="22" t="n">
        <v>44634</v>
      </c>
      <c r="B178" s="22" t="n">
        <v>44638</v>
      </c>
      <c r="C178">
        <f>TEXT(A178,"yyyy-mm")</f>
        <v/>
      </c>
      <c r="D178" s="20" t="n">
        <v>4.477846</v>
      </c>
      <c r="E178" s="20" t="n">
        <v>4.534144</v>
      </c>
      <c r="F178" s="20" t="n">
        <v>4.503640000000001</v>
      </c>
      <c r="G178" s="20" t="n">
        <v>4.537118</v>
      </c>
      <c r="H178" s="20" t="n">
        <v>4.57895</v>
      </c>
      <c r="I178" s="20" t="n">
        <v>4.570064</v>
      </c>
      <c r="J178" s="20" t="n">
        <v>4.585358</v>
      </c>
      <c r="K178" s="20" t="n">
        <v>4.655928</v>
      </c>
      <c r="L178" s="20" t="n">
        <v>4.756764</v>
      </c>
      <c r="M178" s="20" t="n">
        <v>4.777234</v>
      </c>
      <c r="N178" s="20" t="n">
        <v>4.612904</v>
      </c>
      <c r="O178" s="20" t="n">
        <v>4.63002</v>
      </c>
      <c r="P178" s="20" t="n">
        <v>4.671888</v>
      </c>
      <c r="Q178" s="20" t="n">
        <v>4.65849</v>
      </c>
      <c r="R178" s="20" t="n">
        <v>4.62874</v>
      </c>
      <c r="S178" s="20" t="n">
        <v>4.643826</v>
      </c>
      <c r="T178" s="23">
        <f>IFERROR(AVERAGE(D178:S178),"")</f>
        <v/>
      </c>
    </row>
    <row r="179">
      <c r="A179" s="22" t="n">
        <v>44641</v>
      </c>
      <c r="B179" s="22" t="n">
        <v>44645</v>
      </c>
      <c r="C179">
        <f>TEXT(A179,"yyyy-mm")</f>
        <v/>
      </c>
      <c r="D179" s="20" t="n">
        <v>4.974174</v>
      </c>
      <c r="E179" s="20" t="n">
        <v>5.016718</v>
      </c>
      <c r="F179" s="20" t="n">
        <v>4.991912</v>
      </c>
      <c r="G179" s="20" t="n">
        <v>5.019188</v>
      </c>
      <c r="H179" s="20" t="n">
        <v>5.053275999999999</v>
      </c>
      <c r="I179" s="20" t="n">
        <v>5.043244</v>
      </c>
      <c r="J179" s="20" t="n">
        <v>5.058698000000001</v>
      </c>
      <c r="K179" s="20" t="n">
        <v>5.137189999999999</v>
      </c>
      <c r="L179" s="20" t="n">
        <v>5.222908</v>
      </c>
      <c r="M179" s="20" t="n">
        <v>5.242436</v>
      </c>
      <c r="N179" s="20" t="n">
        <v>5.08567</v>
      </c>
      <c r="O179" s="20" t="n">
        <v>5.101998</v>
      </c>
      <c r="P179" s="20" t="n">
        <v>5.141938</v>
      </c>
      <c r="Q179" s="20" t="n">
        <v>5.12916</v>
      </c>
      <c r="R179" s="20" t="n">
        <v>5.099218</v>
      </c>
      <c r="S179" s="20" t="n">
        <v>5.114474</v>
      </c>
      <c r="T179" s="23">
        <f>IFERROR(AVERAGE(D179:S179),"")</f>
        <v/>
      </c>
    </row>
    <row r="180">
      <c r="A180" s="22" t="n">
        <v>44648</v>
      </c>
      <c r="B180" s="22" t="n">
        <v>44652</v>
      </c>
      <c r="C180">
        <f>TEXT(A180,"yyyy-mm")</f>
        <v/>
      </c>
      <c r="D180" s="20" t="n">
        <v>4.644388</v>
      </c>
      <c r="E180" s="20" t="n">
        <v>4.702582</v>
      </c>
      <c r="F180" s="20" t="n">
        <v>4.671968</v>
      </c>
      <c r="G180" s="20" t="n">
        <v>4.705486</v>
      </c>
      <c r="H180" s="20" t="n">
        <v>4.747354000000001</v>
      </c>
      <c r="I180" s="20" t="n">
        <v>4.738504</v>
      </c>
      <c r="J180" s="20" t="n">
        <v>4.75346</v>
      </c>
      <c r="K180" s="20" t="n">
        <v>4.813886</v>
      </c>
      <c r="L180" s="20" t="n">
        <v>4.913060000000001</v>
      </c>
      <c r="M180" s="20" t="n">
        <v>4.932138</v>
      </c>
      <c r="N180" s="20" t="n">
        <v>4.778998</v>
      </c>
      <c r="O180" s="20" t="n">
        <v>4.794948000000001</v>
      </c>
      <c r="P180" s="20" t="n">
        <v>4.833966</v>
      </c>
      <c r="Q180" s="20" t="n">
        <v>4.821479999999999</v>
      </c>
      <c r="R180" s="20" t="n">
        <v>4.793182</v>
      </c>
      <c r="S180" s="20" t="n">
        <v>4.807948000000001</v>
      </c>
      <c r="T180" s="23">
        <f>IFERROR(AVERAGE(D180:S180),"")</f>
        <v/>
      </c>
    </row>
    <row r="181">
      <c r="A181" s="22" t="n">
        <v>44655</v>
      </c>
      <c r="B181" s="22" t="n">
        <v>44659</v>
      </c>
      <c r="C181">
        <f>TEXT(A181,"yyyy-mm")</f>
        <v/>
      </c>
      <c r="D181" s="20" t="n">
        <v>4.732578</v>
      </c>
      <c r="E181" s="20" t="n">
        <v>4.851891999999999</v>
      </c>
      <c r="F181" s="20" t="n">
        <v>4.797601999999999</v>
      </c>
      <c r="G181" s="20" t="n">
        <v>4.85764</v>
      </c>
      <c r="H181" s="20" t="n">
        <v>4.93271</v>
      </c>
      <c r="I181" s="20" t="n">
        <v>4.928544</v>
      </c>
      <c r="J181" s="20" t="n">
        <v>4.94598</v>
      </c>
      <c r="K181" s="20" t="n">
        <v>4.93777</v>
      </c>
      <c r="L181" s="20" t="n">
        <v>5.096372000000001</v>
      </c>
      <c r="M181" s="20" t="n">
        <v>5.115216</v>
      </c>
      <c r="N181" s="20" t="n">
        <v>4.96396</v>
      </c>
      <c r="O181" s="20" t="n">
        <v>4.979714</v>
      </c>
      <c r="P181" s="20" t="n">
        <v>5.01825</v>
      </c>
      <c r="Q181" s="20" t="n">
        <v>5.005917999999999</v>
      </c>
      <c r="R181" s="20" t="n">
        <v>4.982548</v>
      </c>
      <c r="S181" s="20" t="n">
        <v>4.999796</v>
      </c>
      <c r="T181" s="23">
        <f>IFERROR(AVERAGE(D181:S181),"")</f>
        <v/>
      </c>
    </row>
    <row r="182">
      <c r="A182" s="22" t="n">
        <v>44662</v>
      </c>
      <c r="B182" s="22" t="n">
        <v>44665</v>
      </c>
      <c r="C182">
        <f>TEXT(A182,"yyyy-mm")</f>
        <v/>
      </c>
      <c r="D182" s="20" t="n">
        <v>4.708088</v>
      </c>
      <c r="E182" s="20" t="n">
        <v>4.832725</v>
      </c>
      <c r="F182" s="20" t="n">
        <v>4.776283</v>
      </c>
      <c r="G182" s="20" t="n">
        <v>4.839015000000001</v>
      </c>
      <c r="H182" s="20" t="n">
        <v>4.917497999999999</v>
      </c>
      <c r="I182" s="20" t="n">
        <v>4.913729999999999</v>
      </c>
      <c r="J182" s="20" t="n">
        <v>4.93257</v>
      </c>
      <c r="K182" s="20" t="n">
        <v>4.916328</v>
      </c>
      <c r="L182" s="20" t="n">
        <v>5.081018</v>
      </c>
      <c r="M182" s="20" t="n">
        <v>5.09984</v>
      </c>
      <c r="N182" s="20" t="n">
        <v>4.948720000000001</v>
      </c>
      <c r="O182" s="20" t="n">
        <v>4.96446</v>
      </c>
      <c r="P182" s="20" t="n">
        <v>5.002962999999999</v>
      </c>
      <c r="Q182" s="20" t="n">
        <v>4.990645000000001</v>
      </c>
      <c r="R182" s="20" t="n">
        <v>4.967685</v>
      </c>
      <c r="S182" s="20" t="n">
        <v>4.986338</v>
      </c>
      <c r="T182" s="23">
        <f>IFERROR(AVERAGE(D182:S182),"")</f>
        <v/>
      </c>
    </row>
    <row r="183">
      <c r="A183" s="22" t="n">
        <v>44669</v>
      </c>
      <c r="B183" s="22" t="n">
        <v>44673</v>
      </c>
      <c r="C183">
        <f>TEXT(A183,"yyyy-mm")</f>
        <v/>
      </c>
      <c r="D183" s="20" t="n">
        <v>5.044826</v>
      </c>
      <c r="E183" s="20" t="n">
        <v>5.109114</v>
      </c>
      <c r="F183" s="20" t="n">
        <v>5.076392</v>
      </c>
      <c r="G183" s="20" t="n">
        <v>5.111862</v>
      </c>
      <c r="H183" s="20" t="n">
        <v>5.156124</v>
      </c>
      <c r="I183" s="20" t="n">
        <v>5.147736</v>
      </c>
      <c r="J183" s="20" t="n">
        <v>5.161186</v>
      </c>
      <c r="K183" s="20" t="n">
        <v>5.216132</v>
      </c>
      <c r="L183" s="20" t="n">
        <v>5.319294</v>
      </c>
      <c r="M183" s="20" t="n">
        <v>5.338078</v>
      </c>
      <c r="N183" s="20" t="n">
        <v>5.187284</v>
      </c>
      <c r="O183" s="20" t="n">
        <v>5.20299</v>
      </c>
      <c r="P183" s="20" t="n">
        <v>5.241412</v>
      </c>
      <c r="Q183" s="20" t="n">
        <v>5.229118000000001</v>
      </c>
      <c r="R183" s="20" t="n">
        <v>5.201574</v>
      </c>
      <c r="S183" s="20" t="n">
        <v>5.214840000000001</v>
      </c>
      <c r="T183" s="23">
        <f>IFERROR(AVERAGE(D183:S183),"")</f>
        <v/>
      </c>
    </row>
    <row r="184">
      <c r="A184" s="22" t="n">
        <v>44676</v>
      </c>
      <c r="B184" s="22" t="n">
        <v>44680</v>
      </c>
      <c r="C184">
        <f>TEXT(A184,"yyyy-mm")</f>
        <v/>
      </c>
      <c r="D184" s="20" t="n">
        <v>5.489512</v>
      </c>
      <c r="E184" s="20" t="n">
        <v>5.537206</v>
      </c>
      <c r="F184" s="20" t="n">
        <v>5.51031</v>
      </c>
      <c r="G184" s="20" t="n">
        <v>5.539822</v>
      </c>
      <c r="H184" s="20" t="n">
        <v>5.576694000000001</v>
      </c>
      <c r="I184" s="20" t="n">
        <v>5.567086000000001</v>
      </c>
      <c r="J184" s="20" t="n">
        <v>5.582308</v>
      </c>
      <c r="K184" s="20" t="n">
        <v>5.65769</v>
      </c>
      <c r="L184" s="20" t="n">
        <v>5.748774</v>
      </c>
      <c r="M184" s="20" t="n">
        <v>5.768584</v>
      </c>
      <c r="N184" s="20" t="n">
        <v>5.609554</v>
      </c>
      <c r="O184" s="20" t="n">
        <v>5.626116</v>
      </c>
      <c r="P184" s="20" t="n">
        <v>5.666636</v>
      </c>
      <c r="Q184" s="20" t="n">
        <v>5.653671999999999</v>
      </c>
      <c r="R184" s="20" t="n">
        <v>5.62387</v>
      </c>
      <c r="S184" s="20" t="n">
        <v>5.63889</v>
      </c>
      <c r="T184" s="23">
        <f>IFERROR(AVERAGE(D184:S184),"")</f>
        <v/>
      </c>
    </row>
    <row r="185">
      <c r="A185" s="22" t="n">
        <v>44683</v>
      </c>
      <c r="B185" s="22" t="n">
        <v>44687</v>
      </c>
      <c r="C185">
        <f>TEXT(A185,"yyyy-mm")</f>
        <v/>
      </c>
      <c r="D185" s="20" t="n">
        <v>5.962384</v>
      </c>
      <c r="E185" s="20" t="n">
        <v>6.034122</v>
      </c>
      <c r="F185" s="20" t="n">
        <v>5.992962</v>
      </c>
      <c r="G185" s="20" t="n">
        <v>6.037706</v>
      </c>
      <c r="H185" s="20" t="n">
        <v>6.02292</v>
      </c>
      <c r="I185" s="20" t="n">
        <v>6.014558</v>
      </c>
      <c r="J185" s="20" t="n">
        <v>6.03129</v>
      </c>
      <c r="K185" s="20" t="n">
        <v>6.143222</v>
      </c>
      <c r="L185" s="20" t="n">
        <v>6.198364</v>
      </c>
      <c r="M185" s="20" t="n">
        <v>6.21856</v>
      </c>
      <c r="N185" s="20" t="n">
        <v>6.05642</v>
      </c>
      <c r="O185" s="20" t="n">
        <v>6.073308</v>
      </c>
      <c r="P185" s="20" t="n">
        <v>6.11462</v>
      </c>
      <c r="Q185" s="20" t="n">
        <v>6.101398000000001</v>
      </c>
      <c r="R185" s="20" t="n">
        <v>6.072452</v>
      </c>
      <c r="S185" s="20" t="n">
        <v>6.088979999999999</v>
      </c>
      <c r="T185" s="23">
        <f>IFERROR(AVERAGE(D185:S185),"")</f>
        <v/>
      </c>
    </row>
    <row r="186">
      <c r="A186" s="22" t="n">
        <v>44690</v>
      </c>
      <c r="B186" s="22" t="n">
        <v>44694</v>
      </c>
      <c r="C186">
        <f>TEXT(A186,"yyyy-mm")</f>
        <v/>
      </c>
      <c r="D186" s="20" t="n">
        <v>5.493464</v>
      </c>
      <c r="E186" s="20" t="n">
        <v>5.549754</v>
      </c>
      <c r="F186" s="20" t="n">
        <v>5.5151</v>
      </c>
      <c r="G186" s="20" t="n">
        <v>5.553036</v>
      </c>
      <c r="H186" s="20" t="n">
        <v>5.541188</v>
      </c>
      <c r="I186" s="20" t="n">
        <v>5.531758</v>
      </c>
      <c r="J186" s="20" t="n">
        <v>5.549316</v>
      </c>
      <c r="K186" s="20" t="n">
        <v>5.667954</v>
      </c>
      <c r="L186" s="20" t="n">
        <v>5.719658000000001</v>
      </c>
      <c r="M186" s="20" t="n">
        <v>5.740203999999999</v>
      </c>
      <c r="N186" s="20" t="n">
        <v>5.575266</v>
      </c>
      <c r="O186" s="20" t="n">
        <v>5.592448</v>
      </c>
      <c r="P186" s="20" t="n">
        <v>5.634472</v>
      </c>
      <c r="Q186" s="20" t="n">
        <v>5.621024</v>
      </c>
      <c r="R186" s="20" t="n">
        <v>5.590648</v>
      </c>
      <c r="S186" s="20" t="n">
        <v>5.608</v>
      </c>
      <c r="T186" s="23">
        <f>IFERROR(AVERAGE(D186:S186),"")</f>
        <v/>
      </c>
    </row>
    <row r="187">
      <c r="A187" s="22" t="n">
        <v>44697</v>
      </c>
      <c r="B187" s="22" t="n">
        <v>44701</v>
      </c>
      <c r="C187">
        <f>TEXT(A187,"yyyy-mm")</f>
        <v/>
      </c>
      <c r="D187" s="20" t="n">
        <v>4.9715</v>
      </c>
      <c r="E187" s="20" t="n">
        <v>5.044632</v>
      </c>
      <c r="F187" s="20" t="n">
        <v>5.00273</v>
      </c>
      <c r="G187" s="20" t="n">
        <v>5.049232</v>
      </c>
      <c r="H187" s="20" t="n">
        <v>5.036356</v>
      </c>
      <c r="I187" s="20" t="n">
        <v>5.028032000000001</v>
      </c>
      <c r="J187" s="20" t="n">
        <v>5.048764</v>
      </c>
      <c r="K187" s="20" t="n">
        <v>5.150646</v>
      </c>
      <c r="L187" s="20" t="n">
        <v>5.209064000000001</v>
      </c>
      <c r="M187" s="20" t="n">
        <v>5.228946</v>
      </c>
      <c r="N187" s="20" t="n">
        <v>5.069332</v>
      </c>
      <c r="O187" s="20" t="n">
        <v>5.085958</v>
      </c>
      <c r="P187" s="20" t="n">
        <v>5.126626</v>
      </c>
      <c r="Q187" s="20" t="n">
        <v>5.113613999999999</v>
      </c>
      <c r="R187" s="20" t="n">
        <v>5.085024000000001</v>
      </c>
      <c r="S187" s="20" t="n">
        <v>5.105554</v>
      </c>
      <c r="T187" s="23">
        <f>IFERROR(AVERAGE(D187:S187),"")</f>
        <v/>
      </c>
    </row>
    <row r="188">
      <c r="A188" s="22" t="n">
        <v>44704</v>
      </c>
      <c r="B188" s="22" t="n">
        <v>44708</v>
      </c>
      <c r="C188">
        <f>TEXT(A188,"yyyy-mm")</f>
        <v/>
      </c>
      <c r="D188" s="20" t="n">
        <v>4.827968</v>
      </c>
      <c r="E188" s="20" t="n">
        <v>4.92223</v>
      </c>
      <c r="F188" s="20" t="n">
        <v>4.8715</v>
      </c>
      <c r="G188" s="20" t="n">
        <v>4.92731</v>
      </c>
      <c r="H188" s="20" t="n">
        <v>4.910588</v>
      </c>
      <c r="I188" s="20" t="n">
        <v>4.903718</v>
      </c>
      <c r="J188" s="20" t="n">
        <v>4.9236</v>
      </c>
      <c r="K188" s="20" t="n">
        <v>5.014622</v>
      </c>
      <c r="L188" s="20" t="n">
        <v>5.077702</v>
      </c>
      <c r="M188" s="20" t="n">
        <v>5.09694</v>
      </c>
      <c r="N188" s="20" t="n">
        <v>4.9425</v>
      </c>
      <c r="O188" s="20" t="n">
        <v>4.958586</v>
      </c>
      <c r="P188" s="20" t="n">
        <v>4.997934</v>
      </c>
      <c r="Q188" s="20" t="n">
        <v>4.985346</v>
      </c>
      <c r="R188" s="20" t="n">
        <v>4.958862</v>
      </c>
      <c r="S188" s="20" t="n">
        <v>4.978546000000001</v>
      </c>
      <c r="T188" s="23">
        <f>IFERROR(AVERAGE(D188:S188),"")</f>
        <v/>
      </c>
    </row>
    <row r="189">
      <c r="A189" s="22" t="n">
        <v>44711</v>
      </c>
      <c r="B189" s="22" t="n">
        <v>44715</v>
      </c>
      <c r="C189">
        <f>TEXT(A189,"yyyy-mm")</f>
        <v/>
      </c>
      <c r="D189" s="20" t="n">
        <v>5.265747999999999</v>
      </c>
      <c r="E189" s="20" t="n">
        <v>5.357935</v>
      </c>
      <c r="F189" s="20" t="n">
        <v>5.308135</v>
      </c>
      <c r="G189" s="20" t="n">
        <v>5.362915</v>
      </c>
      <c r="H189" s="20" t="n">
        <v>5.346495</v>
      </c>
      <c r="I189" s="20" t="n">
        <v>5.339475</v>
      </c>
      <c r="J189" s="20" t="n">
        <v>5.359255</v>
      </c>
      <c r="K189" s="20" t="n">
        <v>5.451074999999999</v>
      </c>
      <c r="L189" s="20" t="n">
        <v>5.513395</v>
      </c>
      <c r="M189" s="20" t="n">
        <v>5.532613</v>
      </c>
      <c r="N189" s="20" t="n">
        <v>5.378365</v>
      </c>
      <c r="O189" s="20" t="n">
        <v>5.394433</v>
      </c>
      <c r="P189" s="20" t="n">
        <v>5.433733</v>
      </c>
      <c r="Q189" s="20" t="n">
        <v>5.421155</v>
      </c>
      <c r="R189" s="20" t="n">
        <v>5.394547999999999</v>
      </c>
      <c r="S189" s="20" t="n">
        <v>5.414138</v>
      </c>
      <c r="T189" s="23">
        <f>IFERROR(AVERAGE(D189:S189),"")</f>
        <v/>
      </c>
    </row>
    <row r="190">
      <c r="A190" s="22" t="n">
        <v>44718</v>
      </c>
      <c r="B190" s="22" t="n">
        <v>44722</v>
      </c>
      <c r="C190">
        <f>TEXT(A190,"yyyy-mm")</f>
        <v/>
      </c>
      <c r="D190" s="20" t="n">
        <v>5.742638</v>
      </c>
      <c r="E190" s="20" t="n">
        <v>5.80931</v>
      </c>
      <c r="F190" s="20" t="n">
        <v>5.77053</v>
      </c>
      <c r="G190" s="20" t="n">
        <v>5.813108000000001</v>
      </c>
      <c r="H190" s="20" t="n">
        <v>5.800138</v>
      </c>
      <c r="I190" s="20" t="n">
        <v>5.791356</v>
      </c>
      <c r="J190" s="20" t="n">
        <v>5.80974</v>
      </c>
      <c r="K190" s="20" t="n">
        <v>5.916376000000001</v>
      </c>
      <c r="L190" s="20" t="n">
        <v>5.970428</v>
      </c>
      <c r="M190" s="20" t="n">
        <v>5.990032</v>
      </c>
      <c r="N190" s="20" t="n">
        <v>5.832654000000001</v>
      </c>
      <c r="O190" s="20" t="n">
        <v>5.849044</v>
      </c>
      <c r="P190" s="20" t="n">
        <v>5.889144</v>
      </c>
      <c r="Q190" s="20" t="n">
        <v>5.876314000000001</v>
      </c>
      <c r="R190" s="20" t="n">
        <v>5.84755</v>
      </c>
      <c r="S190" s="20" t="n">
        <v>5.865734000000001</v>
      </c>
      <c r="T190" s="23">
        <f>IFERROR(AVERAGE(D190:S190),"")</f>
        <v/>
      </c>
    </row>
    <row r="191">
      <c r="A191" s="22" t="n">
        <v>44725</v>
      </c>
      <c r="B191" s="22" t="n">
        <v>44729</v>
      </c>
      <c r="C191">
        <f>TEXT(A191,"yyyy-mm")</f>
        <v/>
      </c>
      <c r="D191" s="20" t="n">
        <v>6.131218</v>
      </c>
      <c r="E191" s="20" t="n">
        <v>6.199986</v>
      </c>
      <c r="F191" s="20" t="n">
        <v>6.159882</v>
      </c>
      <c r="G191" s="20" t="n">
        <v>6.203804</v>
      </c>
      <c r="H191" s="20" t="n">
        <v>6.190138</v>
      </c>
      <c r="I191" s="20" t="n">
        <v>6.18158</v>
      </c>
      <c r="J191" s="20" t="n">
        <v>6.199622000000001</v>
      </c>
      <c r="K191" s="20" t="n">
        <v>6.312364</v>
      </c>
      <c r="L191" s="20" t="n">
        <v>6.368176</v>
      </c>
      <c r="M191" s="20" t="n">
        <v>6.388674</v>
      </c>
      <c r="N191" s="20" t="n">
        <v>6.224136000000001</v>
      </c>
      <c r="O191" s="20" t="n">
        <v>6.241274000000001</v>
      </c>
      <c r="P191" s="20" t="n">
        <v>6.283194000000001</v>
      </c>
      <c r="Q191" s="20" t="n">
        <v>6.26978</v>
      </c>
      <c r="R191" s="20" t="n">
        <v>6.24033</v>
      </c>
      <c r="S191" s="20" t="n">
        <v>6.258164</v>
      </c>
      <c r="T191" s="23">
        <f>IFERROR(AVERAGE(D191:S191),"")</f>
        <v/>
      </c>
    </row>
    <row r="192">
      <c r="A192" s="22" t="n">
        <v>44732</v>
      </c>
      <c r="B192" s="22" t="n">
        <v>44736</v>
      </c>
      <c r="C192">
        <f>TEXT(A192,"yyyy-mm")</f>
        <v/>
      </c>
      <c r="D192" s="20" t="n">
        <v>6.19976</v>
      </c>
      <c r="E192" s="20" t="n">
        <v>6.291368</v>
      </c>
      <c r="F192" s="20" t="n">
        <v>6.24108</v>
      </c>
      <c r="G192" s="20" t="n">
        <v>6.296223</v>
      </c>
      <c r="H192" s="20" t="n">
        <v>6.279238</v>
      </c>
      <c r="I192" s="20" t="n">
        <v>6.272313</v>
      </c>
      <c r="J192" s="20" t="n">
        <v>6.291403</v>
      </c>
      <c r="K192" s="20" t="n">
        <v>6.396100000000001</v>
      </c>
      <c r="L192" s="20" t="n">
        <v>6.460235</v>
      </c>
      <c r="M192" s="20" t="n">
        <v>6.481075</v>
      </c>
      <c r="N192" s="20" t="n">
        <v>6.313803</v>
      </c>
      <c r="O192" s="20" t="n">
        <v>6.331223</v>
      </c>
      <c r="P192" s="20" t="n">
        <v>6.373845</v>
      </c>
      <c r="Q192" s="20" t="n">
        <v>6.360207999999999</v>
      </c>
      <c r="R192" s="20" t="n">
        <v>6.332038</v>
      </c>
      <c r="S192" s="20" t="n">
        <v>6.350918</v>
      </c>
      <c r="T192" s="23">
        <f>IFERROR(AVERAGE(D192:S192),"")</f>
        <v/>
      </c>
    </row>
    <row r="193">
      <c r="A193" s="22" t="n">
        <v>44739</v>
      </c>
      <c r="B193" s="22" t="n">
        <v>44743</v>
      </c>
      <c r="C193">
        <f>TEXT(A193,"yyyy-mm")</f>
        <v/>
      </c>
      <c r="D193" s="20" t="n">
        <v>5.915757999999999</v>
      </c>
      <c r="E193" s="20" t="n">
        <v>6.015548</v>
      </c>
      <c r="F193" s="20" t="n">
        <v>5.961475999999999</v>
      </c>
      <c r="G193" s="20" t="n">
        <v>6.021078</v>
      </c>
      <c r="H193" s="20" t="n">
        <v>6.003526</v>
      </c>
      <c r="I193" s="20" t="n">
        <v>5.997178</v>
      </c>
      <c r="J193" s="20" t="n">
        <v>6.01787</v>
      </c>
      <c r="K193" s="20" t="n">
        <v>6.117976</v>
      </c>
      <c r="L193" s="20" t="n">
        <v>6.186252000000001</v>
      </c>
      <c r="M193" s="20" t="n">
        <v>6.207292000000001</v>
      </c>
      <c r="N193" s="20" t="n">
        <v>6.038416</v>
      </c>
      <c r="O193" s="20" t="n">
        <v>6.056004</v>
      </c>
      <c r="P193" s="20" t="n">
        <v>6.099032</v>
      </c>
      <c r="Q193" s="20" t="n">
        <v>6.085264</v>
      </c>
      <c r="R193" s="20" t="n">
        <v>6.057474</v>
      </c>
      <c r="S193" s="20" t="n">
        <v>6.077954</v>
      </c>
      <c r="T193" s="23">
        <f>IFERROR(AVERAGE(D193:S193),"")</f>
        <v/>
      </c>
    </row>
    <row r="194">
      <c r="A194" s="22" t="n">
        <v>44746</v>
      </c>
      <c r="B194" s="22" t="n">
        <v>44750</v>
      </c>
      <c r="C194">
        <f>TEXT(A194,"yyyy-mm")</f>
        <v/>
      </c>
      <c r="D194" s="20" t="n">
        <v>5.439455</v>
      </c>
      <c r="E194" s="20" t="n">
        <v>5.530928</v>
      </c>
      <c r="F194" s="20" t="n">
        <v>5.480258</v>
      </c>
      <c r="G194" s="20" t="n">
        <v>5.536085</v>
      </c>
      <c r="H194" s="20" t="n">
        <v>5.519578</v>
      </c>
      <c r="I194" s="20" t="n">
        <v>5.512688</v>
      </c>
      <c r="J194" s="20" t="n">
        <v>5.532913</v>
      </c>
      <c r="K194" s="20" t="n">
        <v>5.640608</v>
      </c>
      <c r="L194" s="20" t="n">
        <v>5.706803</v>
      </c>
      <c r="M194" s="20" t="n">
        <v>5.728358</v>
      </c>
      <c r="N194" s="20" t="n">
        <v>5.555325</v>
      </c>
      <c r="O194" s="20" t="n">
        <v>5.57335</v>
      </c>
      <c r="P194" s="20" t="n">
        <v>5.617435</v>
      </c>
      <c r="Q194" s="20" t="n">
        <v>5.603328</v>
      </c>
      <c r="R194" s="20" t="n">
        <v>5.574468</v>
      </c>
      <c r="S194" s="20" t="n">
        <v>5.594475</v>
      </c>
      <c r="T194" s="23">
        <f>IFERROR(AVERAGE(D194:S194),"")</f>
        <v/>
      </c>
    </row>
    <row r="195">
      <c r="A195" s="22" t="n">
        <v>44753</v>
      </c>
      <c r="B195" s="22" t="n">
        <v>44757</v>
      </c>
      <c r="C195">
        <f>TEXT(A195,"yyyy-mm")</f>
        <v/>
      </c>
      <c r="D195" s="20" t="n">
        <v>5.50083</v>
      </c>
      <c r="E195" s="20" t="n">
        <v>5.579924</v>
      </c>
      <c r="F195" s="20" t="n">
        <v>5.53465</v>
      </c>
      <c r="G195" s="20" t="n">
        <v>5.584474</v>
      </c>
      <c r="H195" s="20" t="n">
        <v>5.569584</v>
      </c>
      <c r="I195" s="20" t="n">
        <v>5.561836</v>
      </c>
      <c r="J195" s="20" t="n">
        <v>5.581253999999999</v>
      </c>
      <c r="K195" s="20" t="n">
        <v>5.696014</v>
      </c>
      <c r="L195" s="20" t="n">
        <v>5.757994</v>
      </c>
      <c r="M195" s="20" t="n">
        <v>5.779684</v>
      </c>
      <c r="N195" s="20" t="n">
        <v>5.605560000000001</v>
      </c>
      <c r="O195" s="20" t="n">
        <v>5.623694</v>
      </c>
      <c r="P195" s="20" t="n">
        <v>5.668060000000001</v>
      </c>
      <c r="Q195" s="20" t="n">
        <v>5.653864</v>
      </c>
      <c r="R195" s="20" t="n">
        <v>5.624008</v>
      </c>
      <c r="S195" s="20" t="n">
        <v>5.643206</v>
      </c>
      <c r="T195" s="23">
        <f>IFERROR(AVERAGE(D195:S195),"")</f>
        <v/>
      </c>
    </row>
    <row r="196">
      <c r="A196" s="22" t="n">
        <v>44760</v>
      </c>
      <c r="B196" s="22" t="n">
        <v>44764</v>
      </c>
      <c r="C196">
        <f>TEXT(A196,"yyyy-mm")</f>
        <v/>
      </c>
      <c r="D196" s="20" t="n">
        <v>5.39654</v>
      </c>
      <c r="E196" s="20" t="n">
        <v>5.479623999999999</v>
      </c>
      <c r="F196" s="20" t="n">
        <v>5.432448</v>
      </c>
      <c r="G196" s="20" t="n">
        <v>5.48451</v>
      </c>
      <c r="H196" s="20" t="n">
        <v>5.469334</v>
      </c>
      <c r="I196" s="20" t="n">
        <v>5.461876</v>
      </c>
      <c r="J196" s="20" t="n">
        <v>5.482095999999999</v>
      </c>
      <c r="K196" s="20" t="n">
        <v>5.595326</v>
      </c>
      <c r="L196" s="20" t="n">
        <v>5.65951</v>
      </c>
      <c r="M196" s="20" t="n">
        <v>5.681406</v>
      </c>
      <c r="N196" s="20" t="n">
        <v>5.505649999999999</v>
      </c>
      <c r="O196" s="20" t="n">
        <v>5.523954</v>
      </c>
      <c r="P196" s="20" t="n">
        <v>5.568734</v>
      </c>
      <c r="Q196" s="20" t="n">
        <v>5.554404000000001</v>
      </c>
      <c r="R196" s="20" t="n">
        <v>5.524636</v>
      </c>
      <c r="S196" s="20" t="n">
        <v>5.54463</v>
      </c>
      <c r="T196" s="23">
        <f>IFERROR(AVERAGE(D196:S196),"")</f>
        <v/>
      </c>
    </row>
    <row r="197">
      <c r="A197" s="22" t="n">
        <v>44767</v>
      </c>
      <c r="B197" s="22" t="n">
        <v>44771</v>
      </c>
      <c r="C197">
        <f>TEXT(A197,"yyyy-mm")</f>
        <v/>
      </c>
      <c r="D197" s="20" t="n">
        <v>5.211166</v>
      </c>
      <c r="E197" s="20" t="n">
        <v>5.318336</v>
      </c>
      <c r="F197" s="20" t="n">
        <v>5.260826</v>
      </c>
      <c r="G197" s="20" t="n">
        <v>5.324576</v>
      </c>
      <c r="H197" s="20" t="n">
        <v>5.306726</v>
      </c>
      <c r="I197" s="20" t="n">
        <v>5.300902</v>
      </c>
      <c r="J197" s="20" t="n">
        <v>5.323454</v>
      </c>
      <c r="K197" s="20" t="n">
        <v>5.418756</v>
      </c>
      <c r="L197" s="20" t="n">
        <v>5.491128</v>
      </c>
      <c r="M197" s="20" t="n">
        <v>5.51236</v>
      </c>
      <c r="N197" s="20" t="n">
        <v>5.341938</v>
      </c>
      <c r="O197" s="20" t="n">
        <v>5.35969</v>
      </c>
      <c r="P197" s="20" t="n">
        <v>5.40311</v>
      </c>
      <c r="Q197" s="20" t="n">
        <v>5.389216</v>
      </c>
      <c r="R197" s="20" t="n">
        <v>5.361748</v>
      </c>
      <c r="S197" s="20" t="n">
        <v>5.384092</v>
      </c>
      <c r="T197" s="23">
        <f>IFERROR(AVERAGE(D197:S197),"")</f>
        <v/>
      </c>
    </row>
    <row r="198">
      <c r="A198" s="22" t="n">
        <v>44774</v>
      </c>
      <c r="B198" s="22" t="n">
        <v>44778</v>
      </c>
      <c r="C198">
        <f>TEXT(A198,"yyyy-mm")</f>
        <v/>
      </c>
      <c r="D198" s="20" t="n">
        <v>4.941514</v>
      </c>
      <c r="E198" s="20" t="n">
        <v>5.078632</v>
      </c>
      <c r="F198" s="20" t="n">
        <v>5.008022</v>
      </c>
      <c r="G198" s="20" t="n">
        <v>5.086472</v>
      </c>
      <c r="H198" s="20" t="n">
        <v>5.064958</v>
      </c>
      <c r="I198" s="20" t="n">
        <v>5.061208</v>
      </c>
      <c r="J198" s="20" t="n">
        <v>5.08621</v>
      </c>
      <c r="K198" s="20" t="n">
        <v>5.164044</v>
      </c>
      <c r="L198" s="20" t="n">
        <v>5.247132</v>
      </c>
      <c r="M198" s="20" t="n">
        <v>5.268106</v>
      </c>
      <c r="N198" s="20" t="n">
        <v>5.099746</v>
      </c>
      <c r="O198" s="20" t="n">
        <v>5.11728</v>
      </c>
      <c r="P198" s="20" t="n">
        <v>5.160178</v>
      </c>
      <c r="Q198" s="20" t="n">
        <v>5.14645</v>
      </c>
      <c r="R198" s="20" t="n">
        <v>5.121322</v>
      </c>
      <c r="S198" s="20" t="n">
        <v>5.146116</v>
      </c>
      <c r="T198" s="23">
        <f>IFERROR(AVERAGE(D198:S198),"")</f>
        <v/>
      </c>
    </row>
    <row r="199">
      <c r="A199" s="22" t="n">
        <v>44781</v>
      </c>
      <c r="B199" s="22" t="n">
        <v>44785</v>
      </c>
      <c r="C199">
        <f>TEXT(A199,"yyyy-mm")</f>
        <v/>
      </c>
      <c r="D199" s="20" t="n">
        <v>4.573822</v>
      </c>
      <c r="E199" s="20" t="n">
        <v>4.660998</v>
      </c>
      <c r="F199" s="20" t="n">
        <v>4.612658</v>
      </c>
      <c r="G199" s="20" t="n">
        <v>4.666124</v>
      </c>
      <c r="H199" s="20" t="n">
        <v>4.65085</v>
      </c>
      <c r="I199" s="20" t="n">
        <v>4.643574</v>
      </c>
      <c r="J199" s="20" t="n">
        <v>4.664428</v>
      </c>
      <c r="K199" s="20" t="n">
        <v>4.765514</v>
      </c>
      <c r="L199" s="20" t="n">
        <v>4.82933</v>
      </c>
      <c r="M199" s="20" t="n">
        <v>4.849878</v>
      </c>
      <c r="N199" s="20" t="n">
        <v>4.684934</v>
      </c>
      <c r="O199" s="20" t="n">
        <v>4.702114</v>
      </c>
      <c r="P199" s="20" t="n">
        <v>4.744138</v>
      </c>
      <c r="Q199" s="20" t="n">
        <v>4.730692</v>
      </c>
      <c r="R199" s="20" t="n">
        <v>4.702466</v>
      </c>
      <c r="S199" s="20" t="n">
        <v>4.723118</v>
      </c>
      <c r="T199" s="23">
        <f>IFERROR(AVERAGE(D199:S199),"")</f>
        <v/>
      </c>
    </row>
    <row r="200">
      <c r="A200" s="22" t="n">
        <v>44788</v>
      </c>
      <c r="B200" s="22" t="n">
        <v>44792</v>
      </c>
      <c r="C200">
        <f>TEXT(A200,"yyyy-mm")</f>
        <v/>
      </c>
      <c r="D200" s="20" t="n">
        <v>4.798862</v>
      </c>
      <c r="E200" s="20" t="n">
        <v>4.849782</v>
      </c>
      <c r="F200" s="20" t="n">
        <v>4.817328</v>
      </c>
      <c r="G200" s="20" t="n">
        <v>4.85313</v>
      </c>
      <c r="H200" s="20" t="n">
        <v>4.842668</v>
      </c>
      <c r="I200" s="20" t="n">
        <v>4.83286</v>
      </c>
      <c r="J200" s="20" t="n">
        <v>4.851408</v>
      </c>
      <c r="K200" s="20" t="n">
        <v>4.971306</v>
      </c>
      <c r="L200" s="20" t="n">
        <v>5.022458</v>
      </c>
      <c r="M200" s="20" t="n">
        <v>5.043158</v>
      </c>
      <c r="N200" s="20" t="n">
        <v>4.877</v>
      </c>
      <c r="O200" s="20" t="n">
        <v>4.894306</v>
      </c>
      <c r="P200" s="20" t="n">
        <v>4.93664</v>
      </c>
      <c r="Q200" s="20" t="n">
        <v>4.923094</v>
      </c>
      <c r="R200" s="20" t="n">
        <v>4.892188</v>
      </c>
      <c r="S200" s="20" t="n">
        <v>4.910526</v>
      </c>
      <c r="T200" s="23">
        <f>IFERROR(AVERAGE(D200:S200),"")</f>
        <v/>
      </c>
    </row>
    <row r="201">
      <c r="A201" s="22" t="n">
        <v>44795</v>
      </c>
      <c r="B201" s="22" t="n">
        <v>44799</v>
      </c>
      <c r="C201">
        <f>TEXT(A201,"yyyy-mm")</f>
        <v/>
      </c>
      <c r="D201" s="20" t="n">
        <v>5.178444</v>
      </c>
      <c r="E201" s="20" t="n">
        <v>5.22863</v>
      </c>
      <c r="F201" s="20" t="n">
        <v>5.19659</v>
      </c>
      <c r="G201" s="20" t="n">
        <v>5.231886</v>
      </c>
      <c r="H201" s="20" t="n">
        <v>5.221442</v>
      </c>
      <c r="I201" s="20" t="n">
        <v>5.211572</v>
      </c>
      <c r="J201" s="20" t="n">
        <v>5.229864</v>
      </c>
      <c r="K201" s="20" t="n">
        <v>5.349368</v>
      </c>
      <c r="L201" s="20" t="n">
        <v>5.39983</v>
      </c>
      <c r="M201" s="20" t="n">
        <v>5.420366</v>
      </c>
      <c r="N201" s="20" t="n">
        <v>5.255506</v>
      </c>
      <c r="O201" s="20" t="n">
        <v>5.272676</v>
      </c>
      <c r="P201" s="20" t="n">
        <v>5.31468</v>
      </c>
      <c r="Q201" s="20" t="n">
        <v>5.30124</v>
      </c>
      <c r="R201" s="20" t="n">
        <v>5.270436</v>
      </c>
      <c r="S201" s="20" t="n">
        <v>5.28852</v>
      </c>
      <c r="T201" s="23">
        <f>IFERROR(AVERAGE(D201:S201),"")</f>
        <v/>
      </c>
    </row>
    <row r="202">
      <c r="A202" s="22" t="n">
        <v>44802</v>
      </c>
      <c r="B202" s="22" t="n">
        <v>44806</v>
      </c>
      <c r="C202">
        <f>TEXT(A202,"yyyy-mm")</f>
        <v/>
      </c>
      <c r="D202" s="20" t="n">
        <v>5.108432</v>
      </c>
      <c r="E202" s="20" t="n">
        <v>5.156158</v>
      </c>
      <c r="F202" s="20" t="n">
        <v>5.12516</v>
      </c>
      <c r="G202" s="20" t="n">
        <v>5.159242</v>
      </c>
      <c r="H202" s="20" t="n">
        <v>5.148978</v>
      </c>
      <c r="I202" s="20" t="n">
        <v>5.138946</v>
      </c>
      <c r="J202" s="20" t="n">
        <v>5.156844</v>
      </c>
      <c r="K202" s="20" t="n">
        <v>5.27888</v>
      </c>
      <c r="L202" s="20" t="n">
        <v>5.328462</v>
      </c>
      <c r="M202" s="20" t="n">
        <v>5.349126</v>
      </c>
      <c r="N202" s="20" t="n">
        <v>5.183248</v>
      </c>
      <c r="O202" s="20" t="n">
        <v>5.200526</v>
      </c>
      <c r="P202" s="20" t="n">
        <v>5.242788</v>
      </c>
      <c r="Q202" s="20" t="n">
        <v>5.229266</v>
      </c>
      <c r="R202" s="20" t="n">
        <v>5.19817</v>
      </c>
      <c r="S202" s="20" t="n">
        <v>5.215862</v>
      </c>
      <c r="T202" s="23">
        <f>IFERROR(AVERAGE(D202:S202),"")</f>
        <v/>
      </c>
    </row>
    <row r="203">
      <c r="A203" s="22" t="n">
        <v>44809</v>
      </c>
      <c r="B203" s="22" t="n">
        <v>44813</v>
      </c>
      <c r="C203">
        <f>TEXT(A203,"yyyy-mm")</f>
        <v/>
      </c>
      <c r="D203" s="20" t="n">
        <v>4.969205</v>
      </c>
      <c r="E203" s="20" t="n">
        <v>5.039775</v>
      </c>
      <c r="F203" s="20" t="n">
        <v>4.998335</v>
      </c>
      <c r="G203" s="20" t="n">
        <v>5.04485</v>
      </c>
      <c r="H203" s="20" t="n">
        <v>5.033303</v>
      </c>
      <c r="I203" s="20" t="n">
        <v>5.024865</v>
      </c>
      <c r="J203" s="20" t="n">
        <v>5.047705</v>
      </c>
      <c r="K203" s="20" t="n">
        <v>5.154083</v>
      </c>
      <c r="L203" s="20" t="n">
        <v>5.215153</v>
      </c>
      <c r="M203" s="20" t="n">
        <v>5.236088</v>
      </c>
      <c r="N203" s="20" t="n">
        <v>5.06803</v>
      </c>
      <c r="O203" s="20" t="n">
        <v>5.08553</v>
      </c>
      <c r="P203" s="20" t="n">
        <v>5.128353</v>
      </c>
      <c r="Q203" s="20" t="n">
        <v>5.114653</v>
      </c>
      <c r="R203" s="20" t="n">
        <v>5.084873</v>
      </c>
      <c r="S203" s="20" t="n">
        <v>5.1075</v>
      </c>
      <c r="T203" s="23">
        <f>IFERROR(AVERAGE(D203:S203),"")</f>
        <v/>
      </c>
    </row>
    <row r="204">
      <c r="A204" s="22" t="n">
        <v>44816</v>
      </c>
      <c r="B204" s="22" t="n">
        <v>44820</v>
      </c>
      <c r="C204">
        <f>TEXT(A204,"yyyy-mm")</f>
        <v/>
      </c>
      <c r="D204" s="20" t="n">
        <v>4.844528</v>
      </c>
      <c r="E204" s="20" t="n">
        <v>4.950154</v>
      </c>
      <c r="F204" s="20" t="n">
        <v>4.893424</v>
      </c>
      <c r="G204" s="20" t="n">
        <v>4.95658</v>
      </c>
      <c r="H204" s="20" t="n">
        <v>4.939584</v>
      </c>
      <c r="I204" s="20" t="n">
        <v>4.933612</v>
      </c>
      <c r="J204" s="20" t="n">
        <v>4.957176</v>
      </c>
      <c r="K204" s="20" t="n">
        <v>5.048542</v>
      </c>
      <c r="L204" s="20" t="n">
        <v>5.1207</v>
      </c>
      <c r="M204" s="20" t="n">
        <v>5.141552</v>
      </c>
      <c r="N204" s="20" t="n">
        <v>4.974168</v>
      </c>
      <c r="O204" s="20" t="n">
        <v>4.9916</v>
      </c>
      <c r="P204" s="20" t="n">
        <v>5.03425</v>
      </c>
      <c r="Q204" s="20" t="n">
        <v>5.020602</v>
      </c>
      <c r="R204" s="20" t="n">
        <v>4.993376</v>
      </c>
      <c r="S204" s="20" t="n">
        <v>5.016728</v>
      </c>
      <c r="T204" s="23">
        <f>IFERROR(AVERAGE(D204:S204),"")</f>
        <v/>
      </c>
    </row>
    <row r="205">
      <c r="A205" s="22" t="n">
        <v>44823</v>
      </c>
      <c r="B205" s="22" t="n">
        <v>44827</v>
      </c>
      <c r="C205">
        <f>TEXT(A205,"yyyy-mm")</f>
        <v/>
      </c>
      <c r="D205" s="20" t="n">
        <v>4.58783</v>
      </c>
      <c r="E205" s="20" t="n">
        <v>4.680644</v>
      </c>
      <c r="F205" s="20" t="n">
        <v>4.62953</v>
      </c>
      <c r="G205" s="20" t="n">
        <v>4.686688</v>
      </c>
      <c r="H205" s="20" t="n">
        <v>4.67195</v>
      </c>
      <c r="I205" s="20" t="n">
        <v>4.665062</v>
      </c>
      <c r="J205" s="20" t="n">
        <v>4.68883</v>
      </c>
      <c r="K205" s="20" t="n">
        <v>4.784104</v>
      </c>
      <c r="L205" s="20" t="n">
        <v>4.85243</v>
      </c>
      <c r="M205" s="20" t="n">
        <v>4.873206</v>
      </c>
      <c r="N205" s="20" t="n">
        <v>4.706414</v>
      </c>
      <c r="O205" s="20" t="n">
        <v>4.723784</v>
      </c>
      <c r="P205" s="20" t="n">
        <v>4.766282</v>
      </c>
      <c r="Q205" s="20" t="n">
        <v>4.752682</v>
      </c>
      <c r="R205" s="20" t="n">
        <v>4.724616</v>
      </c>
      <c r="S205" s="20" t="n">
        <v>4.748176</v>
      </c>
      <c r="T205" s="23">
        <f>IFERROR(AVERAGE(D205:S205),"")</f>
        <v/>
      </c>
    </row>
    <row r="206">
      <c r="A206" s="22" t="n">
        <v>44830</v>
      </c>
      <c r="B206" s="22" t="n">
        <v>44834</v>
      </c>
      <c r="C206">
        <f>TEXT(A206,"yyyy-mm")</f>
        <v/>
      </c>
      <c r="D206" s="20" t="n">
        <v>4.75293</v>
      </c>
      <c r="E206" s="20" t="n">
        <v>4.86315</v>
      </c>
      <c r="F206" s="20" t="n">
        <v>4.803866</v>
      </c>
      <c r="G206" s="20" t="n">
        <v>4.870414</v>
      </c>
      <c r="H206" s="20" t="n">
        <v>4.853912</v>
      </c>
      <c r="I206" s="20" t="n">
        <v>4.8483</v>
      </c>
      <c r="J206" s="20" t="n">
        <v>4.874552</v>
      </c>
      <c r="K206" s="20" t="n">
        <v>4.964458</v>
      </c>
      <c r="L206" s="20" t="n">
        <v>5.04142</v>
      </c>
      <c r="M206" s="20" t="n">
        <v>5.06301</v>
      </c>
      <c r="N206" s="20" t="n">
        <v>4.889722</v>
      </c>
      <c r="O206" s="20" t="n">
        <v>4.907768</v>
      </c>
      <c r="P206" s="20" t="n">
        <v>4.95192</v>
      </c>
      <c r="Q206" s="20" t="n">
        <v>4.937794</v>
      </c>
      <c r="R206" s="20" t="n">
        <v>4.910176</v>
      </c>
      <c r="S206" s="20" t="n">
        <v>4.936208</v>
      </c>
      <c r="T206" s="23">
        <f>IFERROR(AVERAGE(D206:S206),"")</f>
        <v/>
      </c>
    </row>
    <row r="207">
      <c r="A207" s="22" t="n">
        <v>44837</v>
      </c>
      <c r="B207" s="22" t="n">
        <v>44841</v>
      </c>
      <c r="C207">
        <f>TEXT(A207,"yyyy-mm")</f>
        <v/>
      </c>
      <c r="D207" s="20" t="n">
        <v>5.077972</v>
      </c>
      <c r="E207" s="20" t="n">
        <v>5.159598</v>
      </c>
      <c r="F207" s="20" t="n">
        <v>5.11361</v>
      </c>
      <c r="G207" s="20" t="n">
        <v>5.164278</v>
      </c>
      <c r="H207" s="20" t="n">
        <v>5.149294</v>
      </c>
      <c r="I207" s="20" t="n">
        <v>5.141656</v>
      </c>
      <c r="J207" s="20" t="n">
        <v>5.161396</v>
      </c>
      <c r="K207" s="20" t="n">
        <v>5.268632</v>
      </c>
      <c r="L207" s="20" t="n">
        <v>5.330298</v>
      </c>
      <c r="M207" s="20" t="n">
        <v>5.351136</v>
      </c>
      <c r="N207" s="20" t="n">
        <v>5.183856</v>
      </c>
      <c r="O207" s="20" t="n">
        <v>5.20128</v>
      </c>
      <c r="P207" s="20" t="n">
        <v>5.2439</v>
      </c>
      <c r="Q207" s="20" t="n">
        <v>5.23026</v>
      </c>
      <c r="R207" s="20" t="n">
        <v>5.201384</v>
      </c>
      <c r="S207" s="20" t="n">
        <v>5.220912</v>
      </c>
      <c r="T207" s="23">
        <f>IFERROR(AVERAGE(D207:S207),"")</f>
        <v/>
      </c>
    </row>
    <row r="208">
      <c r="A208" s="22" t="n">
        <v>44844</v>
      </c>
      <c r="B208" s="22" t="n">
        <v>44848</v>
      </c>
      <c r="C208">
        <f>TEXT(A208,"yyyy-mm")</f>
        <v/>
      </c>
      <c r="D208" s="20" t="n">
        <v>5.745674</v>
      </c>
      <c r="E208" s="20" t="n">
        <v>5.817804</v>
      </c>
      <c r="F208" s="20" t="n">
        <v>5.775796</v>
      </c>
      <c r="G208" s="20" t="n">
        <v>5.822274</v>
      </c>
      <c r="H208" s="20" t="n">
        <v>5.809044</v>
      </c>
      <c r="I208" s="20" t="n">
        <v>5.800754</v>
      </c>
      <c r="J208" s="20" t="n">
        <v>5.820916</v>
      </c>
      <c r="K208" s="20" t="n">
        <v>5.9328</v>
      </c>
      <c r="L208" s="20" t="n">
        <v>5.99236</v>
      </c>
      <c r="M208" s="20" t="n">
        <v>6.013468</v>
      </c>
      <c r="N208" s="20" t="n">
        <v>5.844052</v>
      </c>
      <c r="O208" s="20" t="n">
        <v>5.861692</v>
      </c>
      <c r="P208" s="20" t="n">
        <v>5.90486</v>
      </c>
      <c r="Q208" s="20" t="n">
        <v>5.89105</v>
      </c>
      <c r="R208" s="20" t="n">
        <v>5.861246</v>
      </c>
      <c r="S208" s="20" t="n">
        <v>5.881196</v>
      </c>
      <c r="T208" s="23">
        <f>IFERROR(AVERAGE(D208:S208),"")</f>
        <v/>
      </c>
    </row>
    <row r="209">
      <c r="A209" s="22" t="n">
        <v>44851</v>
      </c>
      <c r="B209" s="22" t="n">
        <v>44855</v>
      </c>
      <c r="C209">
        <f>TEXT(A209,"yyyy-mm")</f>
        <v/>
      </c>
      <c r="D209" s="20" t="n">
        <v>5.535342</v>
      </c>
      <c r="E209" s="20" t="n">
        <v>5.61095</v>
      </c>
      <c r="F209" s="20" t="n">
        <v>5.56734</v>
      </c>
      <c r="G209" s="20" t="n">
        <v>5.61588</v>
      </c>
      <c r="H209" s="20" t="n">
        <v>5.602794</v>
      </c>
      <c r="I209" s="20" t="n">
        <v>5.594736</v>
      </c>
      <c r="J209" s="20" t="n">
        <v>5.616282</v>
      </c>
      <c r="K209" s="20" t="n">
        <v>5.724056</v>
      </c>
      <c r="L209" s="20" t="n">
        <v>5.785774</v>
      </c>
      <c r="M209" s="20" t="n">
        <v>5.806842</v>
      </c>
      <c r="N209" s="20" t="n">
        <v>5.637736</v>
      </c>
      <c r="O209" s="20" t="n">
        <v>5.65535</v>
      </c>
      <c r="P209" s="20" t="n">
        <v>5.698436</v>
      </c>
      <c r="Q209" s="20" t="n">
        <v>5.68465</v>
      </c>
      <c r="R209" s="20" t="n">
        <v>5.655114</v>
      </c>
      <c r="S209" s="20" t="n">
        <v>5.676452</v>
      </c>
      <c r="T209" s="23">
        <f>IFERROR(AVERAGE(D209:S209),"")</f>
        <v/>
      </c>
    </row>
    <row r="210">
      <c r="A210" s="22" t="n">
        <v>44858</v>
      </c>
      <c r="B210" s="22" t="n">
        <v>44862</v>
      </c>
      <c r="C210">
        <f>TEXT(A210,"yyyy-mm")</f>
        <v/>
      </c>
      <c r="D210" s="20" t="n">
        <v>5.302346</v>
      </c>
      <c r="E210" s="20" t="n">
        <v>5.373922</v>
      </c>
      <c r="F210" s="20" t="n">
        <v>5.332056</v>
      </c>
      <c r="G210" s="20" t="n">
        <v>5.378294</v>
      </c>
      <c r="H210" s="20" t="n">
        <v>5.364904</v>
      </c>
      <c r="I210" s="20" t="n">
        <v>5.356598</v>
      </c>
      <c r="J210" s="20" t="n">
        <v>5.376376</v>
      </c>
      <c r="K210" s="20" t="n">
        <v>5.491012</v>
      </c>
      <c r="L210" s="20" t="n">
        <v>5.5505</v>
      </c>
      <c r="M210" s="20" t="n">
        <v>5.571868</v>
      </c>
      <c r="N210" s="20" t="n">
        <v>5.400344</v>
      </c>
      <c r="O210" s="20" t="n">
        <v>5.418208</v>
      </c>
      <c r="P210" s="20" t="n">
        <v>5.461912</v>
      </c>
      <c r="Q210" s="20" t="n">
        <v>5.447928</v>
      </c>
      <c r="R210" s="20" t="n">
        <v>5.417842</v>
      </c>
      <c r="S210" s="20" t="n">
        <v>5.437402</v>
      </c>
      <c r="T210" s="23">
        <f>IFERROR(AVERAGE(D210:S210),"")</f>
        <v/>
      </c>
    </row>
    <row r="211">
      <c r="A211" s="22" t="n">
        <v>44865</v>
      </c>
      <c r="B211" s="22" t="n">
        <v>44869</v>
      </c>
      <c r="C211">
        <f>TEXT(A211,"yyyy-mm")</f>
        <v/>
      </c>
      <c r="D211" s="20" t="n">
        <v>5.159976</v>
      </c>
      <c r="E211" s="20" t="n">
        <v>5.22488</v>
      </c>
      <c r="F211" s="20" t="n">
        <v>5.18636</v>
      </c>
      <c r="G211" s="20" t="n">
        <v>5.228888</v>
      </c>
      <c r="H211" s="20" t="n">
        <v>5.216544</v>
      </c>
      <c r="I211" s="20" t="n">
        <v>5.207702</v>
      </c>
      <c r="J211" s="20" t="n">
        <v>5.227048</v>
      </c>
      <c r="K211" s="20" t="n">
        <v>5.339134</v>
      </c>
      <c r="L211" s="20" t="n">
        <v>5.394924</v>
      </c>
      <c r="M211" s="20" t="n">
        <v>5.41546</v>
      </c>
      <c r="N211" s="20" t="n">
        <v>5.250606</v>
      </c>
      <c r="O211" s="20" t="n">
        <v>5.267774</v>
      </c>
      <c r="P211" s="20" t="n">
        <v>5.309778</v>
      </c>
      <c r="Q211" s="20" t="n">
        <v>5.29634</v>
      </c>
      <c r="R211" s="20" t="n">
        <v>5.266564</v>
      </c>
      <c r="S211" s="20" t="n">
        <v>5.2857</v>
      </c>
      <c r="T211" s="23">
        <f>IFERROR(AVERAGE(D211:S211),"")</f>
        <v/>
      </c>
    </row>
    <row r="212">
      <c r="A212" s="22" t="n">
        <v>44872</v>
      </c>
      <c r="B212" s="22" t="n">
        <v>44876</v>
      </c>
      <c r="C212">
        <f>TEXT(A212,"yyyy-mm")</f>
        <v/>
      </c>
      <c r="D212" s="20" t="n">
        <v>5.104618</v>
      </c>
      <c r="E212" s="20" t="n">
        <v>5.167028</v>
      </c>
      <c r="F212" s="20" t="n">
        <v>5.129324</v>
      </c>
      <c r="G212" s="20" t="n">
        <v>5.171004</v>
      </c>
      <c r="H212" s="20" t="n">
        <v>5.159034</v>
      </c>
      <c r="I212" s="20" t="n">
        <v>5.15006</v>
      </c>
      <c r="J212" s="20" t="n">
        <v>5.16952</v>
      </c>
      <c r="K212" s="20" t="n">
        <v>5.286076</v>
      </c>
      <c r="L212" s="20" t="n">
        <v>5.342058</v>
      </c>
      <c r="M212" s="20" t="n">
        <v>5.363128</v>
      </c>
      <c r="N212" s="20" t="n">
        <v>5.193984</v>
      </c>
      <c r="O212" s="20" t="n">
        <v>5.211602</v>
      </c>
      <c r="P212" s="20" t="n">
        <v>5.254696</v>
      </c>
      <c r="Q212" s="20" t="n">
        <v>5.240908</v>
      </c>
      <c r="R212" s="20" t="n">
        <v>5.210452</v>
      </c>
      <c r="S212" s="20" t="n">
        <v>5.229704</v>
      </c>
      <c r="T212" s="23">
        <f>IFERROR(AVERAGE(D212:S212),"")</f>
        <v/>
      </c>
    </row>
    <row r="213">
      <c r="A213" s="22" t="n">
        <v>44879</v>
      </c>
      <c r="B213" s="22" t="n">
        <v>44883</v>
      </c>
      <c r="C213">
        <f>TEXT(A213,"yyyy-mm")</f>
        <v/>
      </c>
      <c r="D213" s="20" t="n">
        <v>4.88277</v>
      </c>
      <c r="E213" s="20" t="n">
        <v>4.983832</v>
      </c>
      <c r="F213" s="20" t="n">
        <v>4.928712</v>
      </c>
      <c r="G213" s="20" t="n">
        <v>4.990284</v>
      </c>
      <c r="H213" s="20" t="n">
        <v>4.974238</v>
      </c>
      <c r="I213" s="20" t="n">
        <v>4.967994</v>
      </c>
      <c r="J213" s="20" t="n">
        <v>4.992178</v>
      </c>
      <c r="K213" s="20" t="n">
        <v>5.089124</v>
      </c>
      <c r="L213" s="20" t="n">
        <v>5.16154</v>
      </c>
      <c r="M213" s="20" t="n">
        <v>5.183102</v>
      </c>
      <c r="N213" s="20" t="n">
        <v>5.010006</v>
      </c>
      <c r="O213" s="20" t="n">
        <v>5.028034</v>
      </c>
      <c r="P213" s="20" t="n">
        <v>5.072138</v>
      </c>
      <c r="Q213" s="20" t="n">
        <v>5.058026</v>
      </c>
      <c r="R213" s="20" t="n">
        <v>5.0298</v>
      </c>
      <c r="S213" s="20" t="n">
        <v>5.053766</v>
      </c>
      <c r="T213" s="23">
        <f>IFERROR(AVERAGE(D213:S213),"")</f>
        <v/>
      </c>
    </row>
    <row r="214">
      <c r="A214" s="22" t="n">
        <v>44886</v>
      </c>
      <c r="B214" s="22" t="n">
        <v>44890</v>
      </c>
      <c r="C214">
        <f>TEXT(A214,"yyyy-mm")</f>
        <v/>
      </c>
      <c r="D214" s="20" t="n">
        <v>4.712</v>
      </c>
      <c r="E214" s="20" t="n">
        <v>4.8357</v>
      </c>
      <c r="F214" s="20" t="n">
        <v>4.770727</v>
      </c>
      <c r="G214" s="20" t="n">
        <v>4.84297</v>
      </c>
      <c r="H214" s="20" t="n">
        <v>4.823307</v>
      </c>
      <c r="I214" s="20" t="n">
        <v>4.81865</v>
      </c>
      <c r="J214" s="20" t="n">
        <v>4.843097</v>
      </c>
      <c r="K214" s="20" t="n">
        <v>4.930667</v>
      </c>
      <c r="L214" s="20" t="n">
        <v>5.010053</v>
      </c>
      <c r="M214" s="20" t="n">
        <v>5.031553</v>
      </c>
      <c r="N214" s="20" t="n">
        <v>4.858967</v>
      </c>
      <c r="O214" s="20" t="n">
        <v>4.876943</v>
      </c>
      <c r="P214" s="20" t="n">
        <v>4.920913</v>
      </c>
      <c r="Q214" s="20" t="n">
        <v>4.906843</v>
      </c>
      <c r="R214" s="20" t="n">
        <v>4.880277</v>
      </c>
      <c r="S214" s="20" t="n">
        <v>4.904507</v>
      </c>
      <c r="T214" s="23">
        <f>IFERROR(AVERAGE(D214:S214),"")</f>
        <v/>
      </c>
    </row>
    <row r="215">
      <c r="A215" s="22" t="n">
        <v>44893</v>
      </c>
      <c r="B215" s="22" t="n">
        <v>44897</v>
      </c>
      <c r="C215">
        <f>TEXT(A215,"yyyy-mm")</f>
        <v/>
      </c>
      <c r="D215" s="20" t="n">
        <v>4.356292</v>
      </c>
      <c r="E215" s="20" t="n">
        <v>4.469658</v>
      </c>
      <c r="F215" s="20" t="n">
        <v>4.409298</v>
      </c>
      <c r="G215" s="20" t="n">
        <v>4.47682</v>
      </c>
      <c r="H215" s="20" t="n">
        <v>4.459482</v>
      </c>
      <c r="I215" s="20" t="n">
        <v>4.45406</v>
      </c>
      <c r="J215" s="20" t="n">
        <v>4.479534</v>
      </c>
      <c r="K215" s="20" t="n">
        <v>4.566372</v>
      </c>
      <c r="L215" s="20" t="n">
        <v>4.642886</v>
      </c>
      <c r="M215" s="20" t="n">
        <v>4.664002</v>
      </c>
      <c r="N215" s="20" t="n">
        <v>4.494504</v>
      </c>
      <c r="O215" s="20" t="n">
        <v>4.512158</v>
      </c>
      <c r="P215" s="20" t="n">
        <v>4.555344</v>
      </c>
      <c r="Q215" s="20" t="n">
        <v>4.541526</v>
      </c>
      <c r="R215" s="20" t="n">
        <v>4.51458</v>
      </c>
      <c r="S215" s="20" t="n">
        <v>4.539844</v>
      </c>
      <c r="T215" s="23">
        <f>IFERROR(AVERAGE(D215:S215),"")</f>
        <v/>
      </c>
    </row>
    <row r="216">
      <c r="A216" s="22" t="n">
        <v>44900</v>
      </c>
      <c r="B216" s="22" t="n">
        <v>44904</v>
      </c>
      <c r="C216">
        <f>TEXT(A216,"yyyy-mm")</f>
        <v/>
      </c>
      <c r="D216" s="20" t="n">
        <v>4.008432</v>
      </c>
      <c r="E216" s="20" t="n">
        <v>4.133846</v>
      </c>
      <c r="F216" s="20" t="n">
        <v>4.068254</v>
      </c>
      <c r="G216" s="20" t="n">
        <v>4.141444</v>
      </c>
      <c r="H216" s="20" t="n">
        <v>4.122192</v>
      </c>
      <c r="I216" s="20" t="n">
        <v>4.117612</v>
      </c>
      <c r="J216" s="20" t="n">
        <v>4.143234</v>
      </c>
      <c r="K216" s="20" t="n">
        <v>4.22486</v>
      </c>
      <c r="L216" s="20" t="n">
        <v>4.305044</v>
      </c>
      <c r="M216" s="20" t="n">
        <v>4.326094</v>
      </c>
      <c r="N216" s="20" t="n">
        <v>4.157106</v>
      </c>
      <c r="O216" s="20" t="n">
        <v>4.174706</v>
      </c>
      <c r="P216" s="20" t="n">
        <v>4.217762</v>
      </c>
      <c r="Q216" s="20" t="n">
        <v>4.203986</v>
      </c>
      <c r="R216" s="20" t="n">
        <v>4.177948</v>
      </c>
      <c r="S216" s="20" t="n">
        <v>4.203358</v>
      </c>
      <c r="T216" s="23">
        <f>IFERROR(AVERAGE(D216:S216),"")</f>
        <v/>
      </c>
    </row>
    <row r="217">
      <c r="A217" s="22" t="n">
        <v>44907</v>
      </c>
      <c r="B217" s="22" t="n">
        <v>44911</v>
      </c>
      <c r="C217">
        <f>TEXT(A217,"yyyy-mm")</f>
        <v/>
      </c>
      <c r="D217" s="20" t="n">
        <v>4.20163</v>
      </c>
      <c r="E217" s="20" t="n">
        <v>4.298484</v>
      </c>
      <c r="F217" s="20" t="n">
        <v>4.245382</v>
      </c>
      <c r="G217" s="20" t="n">
        <v>4.304476</v>
      </c>
      <c r="H217" s="20" t="n">
        <v>4.288518</v>
      </c>
      <c r="I217" s="20" t="n">
        <v>4.281974</v>
      </c>
      <c r="J217" s="20" t="n">
        <v>4.3049</v>
      </c>
      <c r="K217" s="20" t="n">
        <v>4.404214</v>
      </c>
      <c r="L217" s="20" t="n">
        <v>4.473974</v>
      </c>
      <c r="M217" s="20" t="n">
        <v>4.495324</v>
      </c>
      <c r="N217" s="20" t="n">
        <v>4.323932</v>
      </c>
      <c r="O217" s="20" t="n">
        <v>4.341784</v>
      </c>
      <c r="P217" s="20" t="n">
        <v>4.385452</v>
      </c>
      <c r="Q217" s="20" t="n">
        <v>4.37148</v>
      </c>
      <c r="R217" s="20" t="n">
        <v>4.343168</v>
      </c>
      <c r="S217" s="20" t="n">
        <v>4.36588</v>
      </c>
      <c r="T217" s="23">
        <f>IFERROR(AVERAGE(D217:S217),"")</f>
        <v/>
      </c>
    </row>
    <row r="218">
      <c r="A218" s="22" t="n">
        <v>44914</v>
      </c>
      <c r="B218" s="22" t="n">
        <v>44918</v>
      </c>
      <c r="C218">
        <f>TEXT(A218,"yyyy-mm")</f>
        <v/>
      </c>
      <c r="D218" s="20" t="n">
        <v>4.154832</v>
      </c>
      <c r="E218" s="20" t="n">
        <v>4.220688</v>
      </c>
      <c r="F218" s="20" t="n">
        <v>4.181534</v>
      </c>
      <c r="G218" s="20" t="n">
        <v>4.224822</v>
      </c>
      <c r="H218" s="20" t="n">
        <v>4.212408</v>
      </c>
      <c r="I218" s="20" t="n">
        <v>4.203664</v>
      </c>
      <c r="J218" s="20" t="n">
        <v>4.223324</v>
      </c>
      <c r="K218" s="20" t="n">
        <v>4.33724</v>
      </c>
      <c r="L218" s="20" t="n">
        <v>4.39421</v>
      </c>
      <c r="M218" s="20" t="n">
        <v>4.415138</v>
      </c>
      <c r="N218" s="20" t="n">
        <v>4.247124</v>
      </c>
      <c r="O218" s="20" t="n">
        <v>4.264622</v>
      </c>
      <c r="P218" s="20" t="n">
        <v>4.307432</v>
      </c>
      <c r="Q218" s="20" t="n">
        <v>4.293732</v>
      </c>
      <c r="R218" s="20" t="n">
        <v>4.263656</v>
      </c>
      <c r="S218" s="20" t="n">
        <v>4.283106</v>
      </c>
      <c r="T218" s="23">
        <f>IFERROR(AVERAGE(D218:S218),"")</f>
        <v/>
      </c>
    </row>
    <row r="219">
      <c r="A219" s="22" t="n">
        <v>44921</v>
      </c>
      <c r="B219" s="22" t="n">
        <v>44925</v>
      </c>
      <c r="C219">
        <f>TEXT(A219,"yyyy-mm")</f>
        <v/>
      </c>
      <c r="D219" s="20" t="n">
        <v>4.6177</v>
      </c>
      <c r="E219" s="20" t="n">
        <v>4.680203</v>
      </c>
      <c r="F219" s="20" t="n">
        <v>4.6425</v>
      </c>
      <c r="G219" s="20" t="n">
        <v>4.68383</v>
      </c>
      <c r="H219" s="20" t="n">
        <v>4.671073</v>
      </c>
      <c r="I219" s="20" t="n">
        <v>4.662125</v>
      </c>
      <c r="J219" s="20" t="n">
        <v>4.68015</v>
      </c>
      <c r="K219" s="20" t="n">
        <v>4.800118</v>
      </c>
      <c r="L219" s="20" t="n">
        <v>4.855108</v>
      </c>
      <c r="M219" s="20" t="n">
        <v>4.876293</v>
      </c>
      <c r="N219" s="20" t="n">
        <v>4.706213</v>
      </c>
      <c r="O219" s="20" t="n">
        <v>4.72393</v>
      </c>
      <c r="P219" s="20" t="n">
        <v>4.767265</v>
      </c>
      <c r="Q219" s="20" t="n">
        <v>4.753398</v>
      </c>
      <c r="R219" s="20" t="n">
        <v>4.722853</v>
      </c>
      <c r="S219" s="20" t="n">
        <v>4.740663</v>
      </c>
      <c r="T219" s="23">
        <f>IFERROR(AVERAGE(D219:S219),"")</f>
        <v/>
      </c>
    </row>
    <row r="220">
      <c r="A220" s="22" t="n">
        <v>44928</v>
      </c>
      <c r="B220" s="22" t="n">
        <v>44932</v>
      </c>
      <c r="C220">
        <f>TEXT(A220,"yyyy-mm")</f>
        <v/>
      </c>
      <c r="D220" s="20" t="n">
        <v>4.44426</v>
      </c>
      <c r="E220" s="20" t="n">
        <v>4.478383</v>
      </c>
      <c r="F220" s="20" t="n">
        <v>4.452825</v>
      </c>
      <c r="G220" s="20" t="n">
        <v>4.481755</v>
      </c>
      <c r="H220" s="20" t="n">
        <v>4.493283</v>
      </c>
      <c r="I220" s="20" t="n">
        <v>4.489093</v>
      </c>
      <c r="J220" s="20" t="n">
        <v>4.499125</v>
      </c>
      <c r="K220" s="20" t="n">
        <v>4.613475</v>
      </c>
      <c r="L220" s="20" t="n">
        <v>4.680853</v>
      </c>
      <c r="M220" s="20" t="n">
        <v>4.70245</v>
      </c>
      <c r="N220" s="20" t="n">
        <v>4.5291</v>
      </c>
      <c r="O220" s="20" t="n">
        <v>4.547153</v>
      </c>
      <c r="P220" s="20" t="n">
        <v>4.591323</v>
      </c>
      <c r="Q220" s="20" t="n">
        <v>4.57719</v>
      </c>
      <c r="R220" s="20" t="n">
        <v>4.550988</v>
      </c>
      <c r="S220" s="20" t="n">
        <v>4.5608</v>
      </c>
      <c r="T220" s="23">
        <f>IFERROR(AVERAGE(D220:S220),"")</f>
        <v/>
      </c>
    </row>
    <row r="221">
      <c r="A221" s="22" t="n">
        <v>44935</v>
      </c>
      <c r="B221" s="22" t="n">
        <v>44939</v>
      </c>
      <c r="C221">
        <f>TEXT(A221,"yyyy-mm")</f>
        <v/>
      </c>
      <c r="D221" s="20" t="n">
        <v>4.297476</v>
      </c>
      <c r="E221" s="20" t="n">
        <v>4.319844</v>
      </c>
      <c r="F221" s="20" t="n">
        <v>4.299822</v>
      </c>
      <c r="G221" s="20" t="n">
        <v>4.322654</v>
      </c>
      <c r="H221" s="20" t="n">
        <v>4.332</v>
      </c>
      <c r="I221" s="20" t="n">
        <v>4.325436</v>
      </c>
      <c r="J221" s="20" t="n">
        <v>4.33726</v>
      </c>
      <c r="K221" s="20" t="n">
        <v>4.454136</v>
      </c>
      <c r="L221" s="20" t="n">
        <v>4.51218</v>
      </c>
      <c r="M221" s="20" t="n">
        <v>4.532926</v>
      </c>
      <c r="N221" s="20" t="n">
        <v>4.366404</v>
      </c>
      <c r="O221" s="20" t="n">
        <v>4.383748</v>
      </c>
      <c r="P221" s="20" t="n">
        <v>4.426174</v>
      </c>
      <c r="Q221" s="20" t="n">
        <v>4.4126</v>
      </c>
      <c r="R221" s="20" t="n">
        <v>4.38489</v>
      </c>
      <c r="S221" s="20" t="n">
        <v>4.396506</v>
      </c>
      <c r="T221" s="23">
        <f>IFERROR(AVERAGE(D221:S221),"")</f>
        <v/>
      </c>
    </row>
    <row r="222">
      <c r="A222" s="22" t="n">
        <v>44942</v>
      </c>
      <c r="B222" s="22" t="n">
        <v>44946</v>
      </c>
      <c r="C222">
        <f>TEXT(A222,"yyyy-mm")</f>
        <v/>
      </c>
      <c r="D222" s="20" t="n">
        <v>4.44631</v>
      </c>
      <c r="E222" s="20" t="n">
        <v>4.463975</v>
      </c>
      <c r="F222" s="20" t="n">
        <v>4.446048</v>
      </c>
      <c r="G222" s="20" t="n">
        <v>4.466448</v>
      </c>
      <c r="H222" s="20" t="n">
        <v>4.47473</v>
      </c>
      <c r="I222" s="20" t="n">
        <v>4.467293</v>
      </c>
      <c r="J222" s="20" t="n">
        <v>4.479263</v>
      </c>
      <c r="K222" s="20" t="n">
        <v>4.600243</v>
      </c>
      <c r="L222" s="20" t="n">
        <v>4.654773</v>
      </c>
      <c r="M222" s="20" t="n">
        <v>4.675498</v>
      </c>
      <c r="N222" s="20" t="n">
        <v>4.509113</v>
      </c>
      <c r="O222" s="20" t="n">
        <v>4.526443</v>
      </c>
      <c r="P222" s="20" t="n">
        <v>4.568835</v>
      </c>
      <c r="Q222" s="20" t="n">
        <v>4.55527</v>
      </c>
      <c r="R222" s="20" t="n">
        <v>4.5267</v>
      </c>
      <c r="S222" s="20" t="n">
        <v>4.53846</v>
      </c>
      <c r="T222" s="23">
        <f>IFERROR(AVERAGE(D222:S222),"")</f>
        <v/>
      </c>
    </row>
    <row r="223">
      <c r="A223" s="22" t="n">
        <v>44949</v>
      </c>
      <c r="B223" s="22" t="n">
        <v>44953</v>
      </c>
      <c r="C223">
        <f>TEXT(A223,"yyyy-mm")</f>
        <v/>
      </c>
      <c r="D223" s="20" t="n">
        <v>4.524714</v>
      </c>
      <c r="E223" s="20" t="n">
        <v>4.540182</v>
      </c>
      <c r="F223" s="20" t="n">
        <v>4.523374</v>
      </c>
      <c r="G223" s="20" t="n">
        <v>4.542268</v>
      </c>
      <c r="H223" s="20" t="n">
        <v>4.549604</v>
      </c>
      <c r="I223" s="20" t="n">
        <v>4.541742</v>
      </c>
      <c r="J223" s="20" t="n">
        <v>4.5529</v>
      </c>
      <c r="K223" s="20" t="n">
        <v>4.67637</v>
      </c>
      <c r="L223" s="20" t="n">
        <v>4.728242</v>
      </c>
      <c r="M223" s="20" t="n">
        <v>4.74881</v>
      </c>
      <c r="N223" s="20" t="n">
        <v>4.583714</v>
      </c>
      <c r="O223" s="20" t="n">
        <v>4.600908</v>
      </c>
      <c r="P223" s="20" t="n">
        <v>4.642972</v>
      </c>
      <c r="Q223" s="20" t="n">
        <v>4.629512</v>
      </c>
      <c r="R223" s="20" t="n">
        <v>4.60069</v>
      </c>
      <c r="S223" s="20" t="n">
        <v>4.611638</v>
      </c>
      <c r="T223" s="23">
        <f>IFERROR(AVERAGE(D223:S223),"")</f>
        <v/>
      </c>
    </row>
    <row r="224">
      <c r="A224" s="22" t="n">
        <v>44956</v>
      </c>
      <c r="B224" s="22" t="n">
        <v>44960</v>
      </c>
      <c r="C224">
        <f>TEXT(A224,"yyyy-mm")</f>
        <v/>
      </c>
      <c r="D224" s="20" t="n">
        <v>4.05232</v>
      </c>
      <c r="E224" s="20" t="n">
        <v>4.065202</v>
      </c>
      <c r="F224" s="20" t="n">
        <v>4.049552</v>
      </c>
      <c r="G224" s="20" t="n">
        <v>4.067244000000001</v>
      </c>
      <c r="H224" s="20" t="n">
        <v>4.074257999999999</v>
      </c>
      <c r="I224" s="20" t="n">
        <v>4.065888</v>
      </c>
      <c r="J224" s="20" t="n">
        <v>4.077734</v>
      </c>
      <c r="K224" s="20" t="n">
        <v>4.201678</v>
      </c>
      <c r="L224" s="20" t="n">
        <v>4.25188</v>
      </c>
      <c r="M224" s="20" t="n">
        <v>4.27233</v>
      </c>
      <c r="N224" s="20" t="n">
        <v>4.108176</v>
      </c>
      <c r="O224" s="20" t="n">
        <v>4.125272</v>
      </c>
      <c r="P224" s="20" t="n">
        <v>4.1671</v>
      </c>
      <c r="Q224" s="20" t="n">
        <v>4.153714</v>
      </c>
      <c r="R224" s="20" t="n">
        <v>4.124496</v>
      </c>
      <c r="S224" s="20" t="n">
        <v>4.13614</v>
      </c>
      <c r="T224" s="23">
        <f>IFERROR(AVERAGE(D224:S224),"")</f>
        <v/>
      </c>
    </row>
    <row r="225">
      <c r="A225" s="22" t="n">
        <v>44963</v>
      </c>
      <c r="B225" s="22" t="n">
        <v>44967</v>
      </c>
      <c r="C225">
        <f>TEXT(A225,"yyyy-mm")</f>
        <v/>
      </c>
      <c r="D225" s="20" t="n">
        <v>3.91663</v>
      </c>
      <c r="E225" s="20" t="n">
        <v>3.95437</v>
      </c>
      <c r="F225" s="20" t="n">
        <v>3.927438</v>
      </c>
      <c r="G225" s="20" t="n">
        <v>3.958254</v>
      </c>
      <c r="H225" s="20" t="n">
        <v>3.971024</v>
      </c>
      <c r="I225" s="20" t="n">
        <v>3.967342</v>
      </c>
      <c r="J225" s="20" t="n">
        <v>3.97854</v>
      </c>
      <c r="K225" s="20" t="n">
        <v>4.083144</v>
      </c>
      <c r="L225" s="20" t="n">
        <v>4.15283</v>
      </c>
      <c r="M225" s="20" t="n">
        <v>4.173762</v>
      </c>
      <c r="N225" s="20" t="n">
        <v>4.005738</v>
      </c>
      <c r="O225" s="20" t="n">
        <v>4.023238</v>
      </c>
      <c r="P225" s="20" t="n">
        <v>4.066050000000001</v>
      </c>
      <c r="Q225" s="20" t="n">
        <v>4.052352</v>
      </c>
      <c r="R225" s="20" t="n">
        <v>4.027338</v>
      </c>
      <c r="S225" s="20" t="n">
        <v>4.038320000000001</v>
      </c>
      <c r="T225" s="23">
        <f>IFERROR(AVERAGE(D225:S225),"")</f>
        <v/>
      </c>
    </row>
    <row r="226">
      <c r="A226" s="22" t="n">
        <v>44970</v>
      </c>
      <c r="B226" s="22" t="n">
        <v>44974</v>
      </c>
      <c r="C226">
        <f>TEXT(A226,"yyyy-mm")</f>
        <v/>
      </c>
      <c r="D226" s="20" t="n">
        <v>3.991772</v>
      </c>
      <c r="E226" s="20" t="n">
        <v>4.056556</v>
      </c>
      <c r="F226" s="20" t="n">
        <v>4.017522</v>
      </c>
      <c r="G226" s="20" t="n">
        <v>4.062806</v>
      </c>
      <c r="H226" s="20" t="n">
        <v>4.082504</v>
      </c>
      <c r="I226" s="20" t="n">
        <v>4.08377</v>
      </c>
      <c r="J226" s="20" t="n">
        <v>4.096</v>
      </c>
      <c r="K226" s="20" t="n">
        <v>4.172794</v>
      </c>
      <c r="L226" s="20" t="n">
        <v>4.263804</v>
      </c>
      <c r="M226" s="20" t="n">
        <v>4.284676</v>
      </c>
      <c r="N226" s="20" t="n">
        <v>4.117124</v>
      </c>
      <c r="O226" s="20" t="n">
        <v>4.134578</v>
      </c>
      <c r="P226" s="20" t="n">
        <v>4.177268</v>
      </c>
      <c r="Q226" s="20" t="n">
        <v>4.163608</v>
      </c>
      <c r="R226" s="20" t="n">
        <v>4.143594</v>
      </c>
      <c r="S226" s="20" t="n">
        <v>4.155612</v>
      </c>
      <c r="T226" s="23">
        <f>IFERROR(AVERAGE(D226:S226),"")</f>
        <v/>
      </c>
    </row>
    <row r="227">
      <c r="A227" s="22" t="n">
        <v>44977</v>
      </c>
      <c r="B227" s="22" t="n">
        <v>44981</v>
      </c>
      <c r="C227">
        <f>TEXT(A227,"yyyy-mm")</f>
        <v/>
      </c>
      <c r="D227" s="20" t="n">
        <v>3.751218</v>
      </c>
      <c r="E227" s="20" t="n">
        <v>3.794265</v>
      </c>
      <c r="F227" s="20" t="n">
        <v>3.765108</v>
      </c>
      <c r="G227" s="20" t="n">
        <v>3.798365</v>
      </c>
      <c r="H227" s="20" t="n">
        <v>3.812003</v>
      </c>
      <c r="I227" s="20" t="n">
        <v>3.809278</v>
      </c>
      <c r="J227" s="20" t="n">
        <v>3.819713</v>
      </c>
      <c r="K227" s="20" t="n">
        <v>3.91954</v>
      </c>
      <c r="L227" s="20" t="n">
        <v>3.992323</v>
      </c>
      <c r="M227" s="20" t="n">
        <v>4.01308</v>
      </c>
      <c r="N227" s="20" t="n">
        <v>3.84643</v>
      </c>
      <c r="O227" s="20" t="n">
        <v>3.86379</v>
      </c>
      <c r="P227" s="20" t="n">
        <v>3.906248</v>
      </c>
      <c r="Q227" s="20" t="n">
        <v>3.892663</v>
      </c>
      <c r="R227" s="20" t="n">
        <v>3.86878</v>
      </c>
      <c r="S227" s="20" t="n">
        <v>3.879005</v>
      </c>
      <c r="T227" s="23">
        <f>IFERROR(AVERAGE(D227:S227),"")</f>
        <v/>
      </c>
    </row>
    <row r="228">
      <c r="A228" s="22" t="n">
        <v>44984</v>
      </c>
      <c r="B228" s="22" t="n">
        <v>44988</v>
      </c>
      <c r="C228">
        <f>TEXT(A228,"yyyy-mm")</f>
        <v/>
      </c>
      <c r="D228" s="20" t="n">
        <v>3.97386</v>
      </c>
      <c r="E228" s="20" t="n">
        <v>4.028324</v>
      </c>
      <c r="F228" s="20" t="n">
        <v>3.993894</v>
      </c>
      <c r="G228" s="20" t="n">
        <v>4.033702</v>
      </c>
      <c r="H228" s="20" t="n">
        <v>4.050816</v>
      </c>
      <c r="I228" s="20" t="n">
        <v>4.050196</v>
      </c>
      <c r="J228" s="20" t="n">
        <v>4.062156</v>
      </c>
      <c r="K228" s="20" t="n">
        <v>4.149368000000001</v>
      </c>
      <c r="L228" s="20" t="n">
        <v>4.232355999999999</v>
      </c>
      <c r="M228" s="20" t="n">
        <v>4.253252000000001</v>
      </c>
      <c r="N228" s="20" t="n">
        <v>4.085484</v>
      </c>
      <c r="O228" s="20" t="n">
        <v>4.102957999999999</v>
      </c>
      <c r="P228" s="20" t="n">
        <v>4.145706000000001</v>
      </c>
      <c r="Q228" s="20" t="n">
        <v>4.132026</v>
      </c>
      <c r="R228" s="20" t="n">
        <v>4.1101</v>
      </c>
      <c r="S228" s="20" t="n">
        <v>4.121848</v>
      </c>
      <c r="T228" s="23">
        <f>IFERROR(AVERAGE(D228:S228),"")</f>
        <v/>
      </c>
    </row>
    <row r="229">
      <c r="A229" s="22" t="n">
        <v>44991</v>
      </c>
      <c r="B229" s="22" t="n">
        <v>44995</v>
      </c>
      <c r="C229">
        <f>TEXT(A229,"yyyy-mm")</f>
        <v/>
      </c>
      <c r="D229" s="20" t="n">
        <v>3.903704</v>
      </c>
      <c r="E229" s="20" t="n">
        <v>3.954156</v>
      </c>
      <c r="F229" s="20" t="n">
        <v>3.921596</v>
      </c>
      <c r="G229" s="20" t="n">
        <v>3.959178</v>
      </c>
      <c r="H229" s="20" t="n">
        <v>3.97524</v>
      </c>
      <c r="I229" s="20" t="n">
        <v>3.97385</v>
      </c>
      <c r="J229" s="20" t="n">
        <v>3.98568</v>
      </c>
      <c r="K229" s="20" t="n">
        <v>4.076044</v>
      </c>
      <c r="L229" s="20" t="n">
        <v>4.155572</v>
      </c>
      <c r="M229" s="20" t="n">
        <v>4.176334</v>
      </c>
      <c r="N229" s="20" t="n">
        <v>4.009674</v>
      </c>
      <c r="O229" s="20" t="n">
        <v>4.027032</v>
      </c>
      <c r="P229" s="20" t="n">
        <v>4.069494</v>
      </c>
      <c r="Q229" s="20" t="n">
        <v>4.055908</v>
      </c>
      <c r="R229" s="20" t="n">
        <v>4.033356</v>
      </c>
      <c r="S229" s="20" t="n">
        <v>4.044976</v>
      </c>
      <c r="T229" s="23">
        <f>IFERROR(AVERAGE(D229:S229),"")</f>
        <v/>
      </c>
    </row>
    <row r="230">
      <c r="A230" s="22" t="n">
        <v>44998</v>
      </c>
      <c r="B230" s="22" t="n">
        <v>45002</v>
      </c>
      <c r="C230">
        <f>TEXT(A230,"yyyy-mm")</f>
        <v/>
      </c>
      <c r="D230" s="20" t="n">
        <v>3.815752</v>
      </c>
      <c r="E230" s="20" t="n">
        <v>3.857372</v>
      </c>
      <c r="F230" s="20" t="n">
        <v>3.82857</v>
      </c>
      <c r="G230" s="20" t="n">
        <v>3.861698</v>
      </c>
      <c r="H230" s="20" t="n">
        <v>3.875684</v>
      </c>
      <c r="I230" s="20" t="n">
        <v>3.872748</v>
      </c>
      <c r="J230" s="20" t="n">
        <v>3.884444</v>
      </c>
      <c r="K230" s="20" t="n">
        <v>3.98584</v>
      </c>
      <c r="L230" s="20" t="n">
        <v>4.059318</v>
      </c>
      <c r="M230" s="20" t="n">
        <v>4.080458</v>
      </c>
      <c r="N230" s="20" t="n">
        <v>3.910748</v>
      </c>
      <c r="O230" s="20" t="n">
        <v>3.928428</v>
      </c>
      <c r="P230" s="20" t="n">
        <v>3.971664</v>
      </c>
      <c r="Q230" s="20" t="n">
        <v>3.957832</v>
      </c>
      <c r="R230" s="20" t="n">
        <v>3.933344</v>
      </c>
      <c r="S230" s="20" t="n">
        <v>3.944826</v>
      </c>
      <c r="T230" s="23">
        <f>IFERROR(AVERAGE(D230:S230),"")</f>
        <v/>
      </c>
    </row>
    <row r="231">
      <c r="A231" s="22" t="n">
        <v>45005</v>
      </c>
      <c r="B231" s="22" t="n">
        <v>45009</v>
      </c>
      <c r="C231">
        <f>TEXT(A231,"yyyy-mm")</f>
        <v/>
      </c>
      <c r="D231" s="20" t="n">
        <v>3.74911</v>
      </c>
      <c r="E231" s="20" t="n">
        <v>3.784506</v>
      </c>
      <c r="F231" s="20" t="n">
        <v>3.755364</v>
      </c>
      <c r="G231" s="20" t="n">
        <v>3.788948</v>
      </c>
      <c r="H231" s="20" t="n">
        <v>3.803226</v>
      </c>
      <c r="I231" s="20" t="n">
        <v>3.800422</v>
      </c>
      <c r="J231" s="20" t="n">
        <v>3.812356</v>
      </c>
      <c r="K231" s="20" t="n">
        <v>3.912182</v>
      </c>
      <c r="L231" s="20" t="n">
        <v>3.98633</v>
      </c>
      <c r="M231" s="20" t="n">
        <v>4.00741</v>
      </c>
      <c r="N231" s="20" t="n">
        <v>3.83819</v>
      </c>
      <c r="O231" s="20" t="n">
        <v>3.855812</v>
      </c>
      <c r="P231" s="20" t="n">
        <v>3.898928</v>
      </c>
      <c r="Q231" s="20" t="n">
        <v>3.885134</v>
      </c>
      <c r="R231" s="20" t="n">
        <v>3.86084</v>
      </c>
      <c r="S231" s="20" t="n">
        <v>3.872564</v>
      </c>
      <c r="T231" s="23">
        <f>IFERROR(AVERAGE(D231:S231),"")</f>
        <v/>
      </c>
    </row>
    <row r="232">
      <c r="A232" s="22" t="n">
        <v>45012</v>
      </c>
      <c r="B232" s="22" t="n">
        <v>45016</v>
      </c>
      <c r="C232">
        <f>TEXT(A232,"yyyy-mm")</f>
        <v/>
      </c>
      <c r="D232" s="20" t="n">
        <v>3.656334</v>
      </c>
      <c r="E232" s="20" t="n">
        <v>3.68204</v>
      </c>
      <c r="F232" s="20" t="n">
        <v>3.65544</v>
      </c>
      <c r="G232" s="20" t="n">
        <v>3.686216</v>
      </c>
      <c r="H232" s="20" t="n">
        <v>3.699486</v>
      </c>
      <c r="I232" s="20" t="n">
        <v>3.695586</v>
      </c>
      <c r="J232" s="20" t="n">
        <v>3.70834</v>
      </c>
      <c r="K232" s="20" t="n">
        <v>3.809152</v>
      </c>
      <c r="L232" s="20" t="n">
        <v>3.878954</v>
      </c>
      <c r="M232" s="20" t="n">
        <v>3.89962</v>
      </c>
      <c r="N232" s="20" t="n">
        <v>3.733756</v>
      </c>
      <c r="O232" s="20" t="n">
        <v>3.751032</v>
      </c>
      <c r="P232" s="20" t="n">
        <v>3.793292</v>
      </c>
      <c r="Q232" s="20" t="n">
        <v>3.77977</v>
      </c>
      <c r="R232" s="20" t="n">
        <v>3.754808</v>
      </c>
      <c r="S232" s="20" t="n">
        <v>3.767354</v>
      </c>
      <c r="T232" s="23">
        <f>IFERROR(AVERAGE(D232:S232),"")</f>
        <v/>
      </c>
    </row>
    <row r="233">
      <c r="A233" s="22" t="n">
        <v>45019</v>
      </c>
      <c r="B233" s="22" t="n">
        <v>45023</v>
      </c>
      <c r="C233">
        <f>TEXT(A233,"yyyy-mm")</f>
        <v/>
      </c>
      <c r="D233" s="20" t="n">
        <v>3.643433</v>
      </c>
      <c r="E233" s="20" t="n">
        <v>3.678388</v>
      </c>
      <c r="F233" s="20" t="n">
        <v>3.647728</v>
      </c>
      <c r="G233" s="20" t="n">
        <v>3.683668</v>
      </c>
      <c r="H233" s="20" t="n">
        <v>3.699833</v>
      </c>
      <c r="I233" s="20" t="n">
        <v>3.697525</v>
      </c>
      <c r="J233" s="20" t="n">
        <v>3.71196</v>
      </c>
      <c r="K233" s="20" t="n">
        <v>3.799153</v>
      </c>
      <c r="L233" s="20" t="n">
        <v>3.87664</v>
      </c>
      <c r="M233" s="20" t="n">
        <v>3.896993</v>
      </c>
      <c r="N233" s="20" t="n">
        <v>3.733598</v>
      </c>
      <c r="O233" s="20" t="n">
        <v>3.750615</v>
      </c>
      <c r="P233" s="20" t="n">
        <v>3.792245</v>
      </c>
      <c r="Q233" s="20" t="n">
        <v>3.778928</v>
      </c>
      <c r="R233" s="20" t="n">
        <v>3.755868</v>
      </c>
      <c r="S233" s="20" t="n">
        <v>3.770098</v>
      </c>
      <c r="T233" s="23">
        <f>IFERROR(AVERAGE(D233:S233),"")</f>
        <v/>
      </c>
    </row>
    <row r="234">
      <c r="A234" s="22" t="n">
        <v>45026</v>
      </c>
      <c r="B234" s="22" t="n">
        <v>45030</v>
      </c>
      <c r="C234">
        <f>TEXT(A234,"yyyy-mm")</f>
        <v/>
      </c>
      <c r="D234" s="20" t="n">
        <v>3.556678</v>
      </c>
      <c r="E234" s="20" t="n">
        <v>3.585518</v>
      </c>
      <c r="F234" s="20" t="n">
        <v>3.557904</v>
      </c>
      <c r="G234" s="20" t="n">
        <v>3.590184</v>
      </c>
      <c r="H234" s="20" t="n">
        <v>3.604576</v>
      </c>
      <c r="I234" s="20" t="n">
        <v>3.601028</v>
      </c>
      <c r="J234" s="20" t="n">
        <v>3.61512</v>
      </c>
      <c r="K234" s="20" t="n">
        <v>3.706388</v>
      </c>
      <c r="L234" s="20" t="n">
        <v>3.777942</v>
      </c>
      <c r="M234" s="20" t="n">
        <v>3.797906</v>
      </c>
      <c r="N234" s="20" t="n">
        <v>3.637682</v>
      </c>
      <c r="O234" s="20" t="n">
        <v>3.654368</v>
      </c>
      <c r="P234" s="20" t="n">
        <v>3.695194</v>
      </c>
      <c r="Q234" s="20" t="n">
        <v>3.682128</v>
      </c>
      <c r="R234" s="20" t="n">
        <v>3.658236</v>
      </c>
      <c r="S234" s="20" t="n">
        <v>3.672128</v>
      </c>
      <c r="T234" s="23">
        <f>IFERROR(AVERAGE(D234:S234),"")</f>
        <v/>
      </c>
    </row>
    <row r="235">
      <c r="A235" s="22" t="n">
        <v>45033</v>
      </c>
      <c r="B235" s="22" t="n">
        <v>45037</v>
      </c>
      <c r="C235">
        <f>TEXT(A235,"yyyy-mm")</f>
        <v/>
      </c>
      <c r="D235" s="20" t="n">
        <v>3.386754</v>
      </c>
      <c r="E235" s="20" t="n">
        <v>3.40615</v>
      </c>
      <c r="F235" s="20" t="n">
        <v>3.382784</v>
      </c>
      <c r="G235" s="20" t="n">
        <v>3.409676</v>
      </c>
      <c r="H235" s="20" t="n">
        <v>3.421056</v>
      </c>
      <c r="I235" s="20" t="n">
        <v>3.415842</v>
      </c>
      <c r="J235" s="20" t="n">
        <v>3.428238</v>
      </c>
      <c r="K235" s="20" t="n">
        <v>3.532592</v>
      </c>
      <c r="L235" s="20" t="n">
        <v>3.595974</v>
      </c>
      <c r="M235" s="20" t="n">
        <v>3.616112</v>
      </c>
      <c r="N235" s="20" t="n">
        <v>3.454458</v>
      </c>
      <c r="O235" s="20" t="n">
        <v>3.471296</v>
      </c>
      <c r="P235" s="20" t="n">
        <v>3.512482</v>
      </c>
      <c r="Q235" s="20" t="n">
        <v>3.499304</v>
      </c>
      <c r="R235" s="20" t="n">
        <v>3.473562</v>
      </c>
      <c r="S235" s="20" t="n">
        <v>3.485752</v>
      </c>
      <c r="T235" s="23">
        <f>IFERROR(AVERAGE(D235:S235),"")</f>
        <v/>
      </c>
    </row>
    <row r="236">
      <c r="A236" s="22" t="n">
        <v>45040</v>
      </c>
      <c r="B236" s="22" t="n">
        <v>45044</v>
      </c>
      <c r="C236">
        <f>TEXT(A236,"yyyy-mm")</f>
        <v/>
      </c>
      <c r="D236" s="20" t="n">
        <v>3.201274</v>
      </c>
      <c r="E236" s="20" t="n">
        <v>3.213082</v>
      </c>
      <c r="F236" s="20" t="n">
        <v>3.193024</v>
      </c>
      <c r="G236" s="20" t="n">
        <v>3.215994</v>
      </c>
      <c r="H236" s="20" t="n">
        <v>3.225544</v>
      </c>
      <c r="I236" s="20" t="n">
        <v>3.218968</v>
      </c>
      <c r="J236" s="20" t="n">
        <v>3.23123</v>
      </c>
      <c r="K236" s="20" t="n">
        <v>3.34321</v>
      </c>
      <c r="L236" s="20" t="n">
        <v>3.4009</v>
      </c>
      <c r="M236" s="20" t="n">
        <v>3.421088</v>
      </c>
      <c r="N236" s="20" t="n">
        <v>3.259028</v>
      </c>
      <c r="O236" s="20" t="n">
        <v>3.275906</v>
      </c>
      <c r="P236" s="20" t="n">
        <v>3.3172</v>
      </c>
      <c r="Q236" s="20" t="n">
        <v>3.303986</v>
      </c>
      <c r="R236" s="20" t="n">
        <v>3.27683</v>
      </c>
      <c r="S236" s="20" t="n">
        <v>3.28889</v>
      </c>
      <c r="T236" s="23">
        <f>IFERROR(AVERAGE(D236:S236),"")</f>
        <v/>
      </c>
    </row>
    <row r="237">
      <c r="A237" s="22" t="n">
        <v>45047</v>
      </c>
      <c r="B237" s="22" t="n">
        <v>45051</v>
      </c>
      <c r="C237">
        <f>TEXT(A237,"yyyy-mm")</f>
        <v/>
      </c>
      <c r="D237" s="20" t="n">
        <v>3.03608</v>
      </c>
      <c r="E237" s="20" t="n">
        <v>3.049358</v>
      </c>
      <c r="F237" s="20" t="n">
        <v>3.028726</v>
      </c>
      <c r="G237" s="20" t="n">
        <v>3.052446</v>
      </c>
      <c r="H237" s="20" t="n">
        <v>3.062454</v>
      </c>
      <c r="I237" s="20" t="n">
        <v>3.0561</v>
      </c>
      <c r="J237" s="20" t="n">
        <v>3.068698</v>
      </c>
      <c r="K237" s="20" t="n">
        <v>3.17787</v>
      </c>
      <c r="L237" s="20" t="n">
        <v>3.236598</v>
      </c>
      <c r="M237" s="20" t="n">
        <v>3.256644</v>
      </c>
      <c r="N237" s="20" t="n">
        <v>3.095708</v>
      </c>
      <c r="O237" s="20" t="n">
        <v>3.11247</v>
      </c>
      <c r="P237" s="20" t="n">
        <v>3.153474</v>
      </c>
      <c r="Q237" s="20" t="n">
        <v>3.140352</v>
      </c>
      <c r="R237" s="20" t="n">
        <v>3.11356</v>
      </c>
      <c r="S237" s="20" t="n">
        <v>3.125956</v>
      </c>
      <c r="T237" s="23">
        <f>IFERROR(AVERAGE(D237:S237),"")</f>
        <v/>
      </c>
    </row>
    <row r="238">
      <c r="A238" s="22" t="n">
        <v>45054</v>
      </c>
      <c r="B238" s="22" t="n">
        <v>45058</v>
      </c>
      <c r="C238">
        <f>TEXT(A238,"yyyy-mm")</f>
        <v/>
      </c>
      <c r="D238" s="20" t="n">
        <v>3.072288</v>
      </c>
      <c r="E238" s="20" t="n">
        <v>3.080676</v>
      </c>
      <c r="F238" s="20" t="n">
        <v>3.062234</v>
      </c>
      <c r="G238" s="20" t="n">
        <v>3.083596</v>
      </c>
      <c r="H238" s="20" t="n">
        <v>3.092836</v>
      </c>
      <c r="I238" s="20" t="n">
        <v>3.085524</v>
      </c>
      <c r="J238" s="20" t="n">
        <v>3.09907</v>
      </c>
      <c r="K238" s="20" t="n">
        <v>3.21056</v>
      </c>
      <c r="L238" s="20" t="n">
        <v>3.266022</v>
      </c>
      <c r="M238" s="20" t="n">
        <v>3.285962</v>
      </c>
      <c r="N238" s="20" t="n">
        <v>3.125906</v>
      </c>
      <c r="O238" s="20" t="n">
        <v>3.142578</v>
      </c>
      <c r="P238" s="20" t="n">
        <v>3.183356</v>
      </c>
      <c r="Q238" s="20" t="n">
        <v>3.17031</v>
      </c>
      <c r="R238" s="20" t="n">
        <v>3.142674</v>
      </c>
      <c r="S238" s="20" t="n">
        <v>3.156014</v>
      </c>
      <c r="T238" s="23">
        <f>IFERROR(AVERAGE(D238:S238),"")</f>
        <v/>
      </c>
    </row>
    <row r="239">
      <c r="A239" s="22" t="n">
        <v>45061</v>
      </c>
      <c r="B239" s="22" t="n">
        <v>45065</v>
      </c>
      <c r="C239">
        <f>TEXT(A239,"yyyy-mm")</f>
        <v/>
      </c>
      <c r="D239" s="20" t="n">
        <v>3.086374</v>
      </c>
      <c r="E239" s="20" t="n">
        <v>3.094146</v>
      </c>
      <c r="F239" s="20" t="n">
        <v>3.076142</v>
      </c>
      <c r="G239" s="20" t="n">
        <v>3.096888</v>
      </c>
      <c r="H239" s="20" t="n">
        <v>3.105704</v>
      </c>
      <c r="I239" s="20" t="n">
        <v>3.098238</v>
      </c>
      <c r="J239" s="20" t="n">
        <v>3.111342</v>
      </c>
      <c r="K239" s="20" t="n">
        <v>3.223882</v>
      </c>
      <c r="L239" s="20" t="n">
        <v>3.278206</v>
      </c>
      <c r="M239" s="20" t="n">
        <v>3.298066</v>
      </c>
      <c r="N239" s="20" t="n">
        <v>3.138646</v>
      </c>
      <c r="O239" s="20" t="n">
        <v>3.155252</v>
      </c>
      <c r="P239" s="20" t="n">
        <v>3.19587</v>
      </c>
      <c r="Q239" s="20" t="n">
        <v>3.18287</v>
      </c>
      <c r="R239" s="20" t="n">
        <v>3.15516</v>
      </c>
      <c r="S239" s="20" t="n">
        <v>3.168062</v>
      </c>
      <c r="T239" s="23">
        <f>IFERROR(AVERAGE(D239:S239),"")</f>
        <v/>
      </c>
    </row>
    <row r="240">
      <c r="A240" s="22" t="n">
        <v>45068</v>
      </c>
      <c r="B240" s="22" t="n">
        <v>45072</v>
      </c>
      <c r="C240">
        <f>TEXT(A240,"yyyy-mm")</f>
        <v/>
      </c>
      <c r="D240" s="20" t="n">
        <v>3.130966</v>
      </c>
      <c r="E240" s="20" t="n">
        <v>3.153664</v>
      </c>
      <c r="F240" s="20" t="n">
        <v>3.12877</v>
      </c>
      <c r="G240" s="20" t="n">
        <v>3.157832</v>
      </c>
      <c r="H240" s="20" t="n">
        <v>3.17074</v>
      </c>
      <c r="I240" s="20" t="n">
        <v>3.16607</v>
      </c>
      <c r="J240" s="20" t="n">
        <v>3.180096</v>
      </c>
      <c r="K240" s="20" t="n">
        <v>3.27744</v>
      </c>
      <c r="L240" s="20" t="n">
        <v>3.344326</v>
      </c>
      <c r="M240" s="20" t="n">
        <v>3.364312</v>
      </c>
      <c r="N240" s="20" t="n">
        <v>3.203888</v>
      </c>
      <c r="O240" s="20" t="n">
        <v>3.220596</v>
      </c>
      <c r="P240" s="20" t="n">
        <v>3.261468</v>
      </c>
      <c r="Q240" s="20" t="n">
        <v>3.248394</v>
      </c>
      <c r="R240" s="20" t="n">
        <v>3.223352</v>
      </c>
      <c r="S240" s="20" t="n">
        <v>3.237178</v>
      </c>
      <c r="T240" s="23">
        <f>IFERROR(AVERAGE(D240:S240),"")</f>
        <v/>
      </c>
    </row>
    <row r="241">
      <c r="A241" s="22" t="n">
        <v>45075</v>
      </c>
      <c r="B241" s="22" t="n">
        <v>45079</v>
      </c>
      <c r="C241">
        <f>TEXT(A241,"yyyy-mm")</f>
        <v/>
      </c>
      <c r="D241" s="20" t="n">
        <v>3.07023</v>
      </c>
      <c r="E241" s="20" t="n">
        <v>3.09137</v>
      </c>
      <c r="F241" s="20" t="n">
        <v>3.0671</v>
      </c>
      <c r="G241" s="20" t="n">
        <v>3.095205</v>
      </c>
      <c r="H241" s="20" t="n">
        <v>3.107353</v>
      </c>
      <c r="I241" s="20" t="n">
        <v>3.102478</v>
      </c>
      <c r="J241" s="20" t="n">
        <v>3.115523</v>
      </c>
      <c r="K241" s="20" t="n">
        <v>3.217235</v>
      </c>
      <c r="L241" s="20" t="n">
        <v>3.282653</v>
      </c>
      <c r="M241" s="20" t="n">
        <v>3.302833</v>
      </c>
      <c r="N241" s="20" t="n">
        <v>3.140825</v>
      </c>
      <c r="O241" s="20" t="n">
        <v>3.1577</v>
      </c>
      <c r="P241" s="20" t="n">
        <v>3.19898</v>
      </c>
      <c r="Q241" s="20" t="n">
        <v>3.18577</v>
      </c>
      <c r="R241" s="20" t="n">
        <v>3.160323</v>
      </c>
      <c r="S241" s="20" t="n">
        <v>3.173163</v>
      </c>
      <c r="T241" s="23">
        <f>IFERROR(AVERAGE(D241:S241),"")</f>
        <v/>
      </c>
    </row>
    <row r="242">
      <c r="A242" s="22" t="n">
        <v>45082</v>
      </c>
      <c r="B242" s="22" t="n">
        <v>45086</v>
      </c>
      <c r="C242">
        <f>TEXT(A242,"yyyy-mm")</f>
        <v/>
      </c>
      <c r="D242" s="20" t="n">
        <v>3.078806</v>
      </c>
      <c r="E242" s="20" t="n">
        <v>3.095154</v>
      </c>
      <c r="F242" s="20" t="n">
        <v>3.073284</v>
      </c>
      <c r="G242" s="20" t="n">
        <v>3.098818</v>
      </c>
      <c r="H242" s="20" t="n">
        <v>3.11016</v>
      </c>
      <c r="I242" s="20" t="n">
        <v>3.104234</v>
      </c>
      <c r="J242" s="20" t="n">
        <v>3.118386</v>
      </c>
      <c r="K242" s="20" t="n">
        <v>3.219962</v>
      </c>
      <c r="L242" s="20" t="n">
        <v>3.281418</v>
      </c>
      <c r="M242" s="20" t="n">
        <v>3.301136</v>
      </c>
      <c r="N242" s="20" t="n">
        <v>3.142862</v>
      </c>
      <c r="O242" s="20" t="n">
        <v>3.159346</v>
      </c>
      <c r="P242" s="20" t="n">
        <v>3.199672</v>
      </c>
      <c r="Q242" s="20" t="n">
        <v>3.186768</v>
      </c>
      <c r="R242" s="20" t="n">
        <v>3.160746</v>
      </c>
      <c r="S242" s="20" t="n">
        <v>3.174698</v>
      </c>
      <c r="T242" s="23">
        <f>IFERROR(AVERAGE(D242:S242),"")</f>
        <v/>
      </c>
    </row>
    <row r="243">
      <c r="A243" s="22" t="n">
        <v>45089</v>
      </c>
      <c r="B243" s="22" t="n">
        <v>45093</v>
      </c>
      <c r="C243">
        <f>TEXT(A243,"yyyy-mm")</f>
        <v/>
      </c>
      <c r="D243" s="20" t="n">
        <v>3.034448</v>
      </c>
      <c r="E243" s="20" t="n">
        <v>3.044956</v>
      </c>
      <c r="F243" s="20" t="n">
        <v>3.025908</v>
      </c>
      <c r="G243" s="20" t="n">
        <v>3.04806</v>
      </c>
      <c r="H243" s="20" t="n">
        <v>3.05778</v>
      </c>
      <c r="I243" s="20" t="n">
        <v>3.050702</v>
      </c>
      <c r="J243" s="20" t="n">
        <v>3.064592</v>
      </c>
      <c r="K243" s="20" t="n">
        <v>3.170614</v>
      </c>
      <c r="L243" s="20" t="n">
        <v>3.22674</v>
      </c>
      <c r="M243" s="20" t="n">
        <v>3.24619</v>
      </c>
      <c r="N243" s="20" t="n">
        <v>3.090044</v>
      </c>
      <c r="O243" s="20" t="n">
        <v>3.106306</v>
      </c>
      <c r="P243" s="20" t="n">
        <v>3.146092</v>
      </c>
      <c r="Q243" s="20" t="n">
        <v>3.13336</v>
      </c>
      <c r="R243" s="20" t="n">
        <v>3.106456</v>
      </c>
      <c r="S243" s="20" t="n">
        <v>3.120148</v>
      </c>
      <c r="T243" s="23">
        <f>IFERROR(AVERAGE(D243:S243),"")</f>
        <v/>
      </c>
    </row>
    <row r="244">
      <c r="A244" s="22" t="n">
        <v>45096</v>
      </c>
      <c r="B244" s="22" t="n">
        <v>45100</v>
      </c>
      <c r="C244">
        <f>TEXT(A244,"yyyy-mm")</f>
        <v/>
      </c>
      <c r="D244" s="20" t="n">
        <v>3.157623</v>
      </c>
      <c r="E244" s="20" t="n">
        <v>3.174378</v>
      </c>
      <c r="F244" s="20" t="n">
        <v>3.152788</v>
      </c>
      <c r="G244" s="20" t="n">
        <v>3.177808</v>
      </c>
      <c r="H244" s="20" t="n">
        <v>3.18865</v>
      </c>
      <c r="I244" s="20" t="n">
        <v>3.182653</v>
      </c>
      <c r="J244" s="20" t="n">
        <v>3.196</v>
      </c>
      <c r="K244" s="20" t="n">
        <v>3.29548</v>
      </c>
      <c r="L244" s="20" t="n">
        <v>3.355258</v>
      </c>
      <c r="M244" s="20" t="n">
        <v>3.374443</v>
      </c>
      <c r="N244" s="20" t="n">
        <v>3.220465</v>
      </c>
      <c r="O244" s="20" t="n">
        <v>3.236503</v>
      </c>
      <c r="P244" s="20" t="n">
        <v>3.275735</v>
      </c>
      <c r="Q244" s="20" t="n">
        <v>3.263183</v>
      </c>
      <c r="R244" s="20" t="n">
        <v>3.237628</v>
      </c>
      <c r="S244" s="20" t="n">
        <v>3.250785</v>
      </c>
      <c r="T244" s="23">
        <f>IFERROR(AVERAGE(D244:S244),"")</f>
        <v/>
      </c>
    </row>
    <row r="245">
      <c r="A245" s="22" t="n">
        <v>45103</v>
      </c>
      <c r="B245" s="22" t="n">
        <v>45107</v>
      </c>
      <c r="C245">
        <f>TEXT(A245,"yyyy-mm")</f>
        <v/>
      </c>
      <c r="D245" s="20" t="n">
        <v>3.08391</v>
      </c>
      <c r="E245" s="20" t="n">
        <v>3.106932</v>
      </c>
      <c r="F245" s="20" t="n">
        <v>3.082398</v>
      </c>
      <c r="G245" s="20" t="n">
        <v>3.110998</v>
      </c>
      <c r="H245" s="20" t="n">
        <v>3.123634</v>
      </c>
      <c r="I245" s="20" t="n">
        <v>3.118826</v>
      </c>
      <c r="J245" s="20" t="n">
        <v>3.13267</v>
      </c>
      <c r="K245" s="20" t="n">
        <v>3.22617</v>
      </c>
      <c r="L245" s="20" t="n">
        <v>3.291506</v>
      </c>
      <c r="M245" s="20" t="n">
        <v>3.310832</v>
      </c>
      <c r="N245" s="20" t="n">
        <v>3.155688</v>
      </c>
      <c r="O245" s="20" t="n">
        <v>3.171848</v>
      </c>
      <c r="P245" s="20" t="n">
        <v>3.211376</v>
      </c>
      <c r="Q245" s="20" t="n">
        <v>3.19873</v>
      </c>
      <c r="R245" s="20" t="n">
        <v>3.174224</v>
      </c>
      <c r="S245" s="20" t="n">
        <v>3.187872</v>
      </c>
      <c r="T245" s="23">
        <f>IFERROR(AVERAGE(D245:S245),"")</f>
        <v/>
      </c>
    </row>
    <row r="246">
      <c r="A246" s="22" t="n">
        <v>45110</v>
      </c>
      <c r="B246" s="22" t="n">
        <v>45114</v>
      </c>
      <c r="C246">
        <f>TEXT(A246,"yyyy-mm")</f>
        <v/>
      </c>
      <c r="D246" s="20" t="n">
        <v>3.180683</v>
      </c>
      <c r="E246" s="20" t="n">
        <v>3.20247</v>
      </c>
      <c r="F246" s="20" t="n">
        <v>3.178373</v>
      </c>
      <c r="G246" s="20" t="n">
        <v>3.206233</v>
      </c>
      <c r="H246" s="20" t="n">
        <v>3.218207</v>
      </c>
      <c r="I246" s="20" t="n">
        <v>3.213267</v>
      </c>
      <c r="J246" s="20" t="n">
        <v>3.22613</v>
      </c>
      <c r="K246" s="20" t="n">
        <v>3.323923</v>
      </c>
      <c r="L246" s="20" t="n">
        <v>3.38815</v>
      </c>
      <c r="M246" s="20" t="n">
        <v>3.407713</v>
      </c>
      <c r="N246" s="20" t="n">
        <v>3.25066</v>
      </c>
      <c r="O246" s="20" t="n">
        <v>3.26702</v>
      </c>
      <c r="P246" s="20" t="n">
        <v>3.307033</v>
      </c>
      <c r="Q246" s="20" t="n">
        <v>3.294227</v>
      </c>
      <c r="R246" s="20" t="n">
        <v>3.269347</v>
      </c>
      <c r="S246" s="20" t="n">
        <v>3.28201</v>
      </c>
      <c r="T246" s="23">
        <f>IFERROR(AVERAGE(D246:S246),"")</f>
        <v/>
      </c>
    </row>
    <row r="247">
      <c r="A247" s="22" t="n">
        <v>45117</v>
      </c>
      <c r="B247" s="22" t="n">
        <v>45121</v>
      </c>
      <c r="C247">
        <f>TEXT(A247,"yyyy-mm")</f>
        <v/>
      </c>
      <c r="D247" s="20" t="n">
        <v>3.257242</v>
      </c>
      <c r="E247" s="20" t="n">
        <v>3.275286</v>
      </c>
      <c r="F247" s="20" t="n">
        <v>3.252944</v>
      </c>
      <c r="G247" s="20" t="n">
        <v>3.2789</v>
      </c>
      <c r="H247" s="20" t="n">
        <v>3.290246</v>
      </c>
      <c r="I247" s="20" t="n">
        <v>3.284548</v>
      </c>
      <c r="J247" s="20" t="n">
        <v>3.29812</v>
      </c>
      <c r="K247" s="20" t="n">
        <v>3.397228</v>
      </c>
      <c r="L247" s="20" t="n">
        <v>3.458714</v>
      </c>
      <c r="M247" s="20" t="n">
        <v>3.478112</v>
      </c>
      <c r="N247" s="20" t="n">
        <v>3.322416</v>
      </c>
      <c r="O247" s="20" t="n">
        <v>3.338628</v>
      </c>
      <c r="P247" s="20" t="n">
        <v>3.378298</v>
      </c>
      <c r="Q247" s="20" t="n">
        <v>3.365608</v>
      </c>
      <c r="R247" s="20" t="n">
        <v>3.34014</v>
      </c>
      <c r="S247" s="20" t="n">
        <v>3.353516</v>
      </c>
      <c r="T247" s="23">
        <f>IFERROR(AVERAGE(D247:S247),"")</f>
        <v/>
      </c>
    </row>
    <row r="248">
      <c r="A248" s="22" t="n">
        <v>45124</v>
      </c>
      <c r="B248" s="22" t="n">
        <v>45128</v>
      </c>
      <c r="C248">
        <f>TEXT(A248,"yyyy-mm")</f>
        <v/>
      </c>
      <c r="D248" s="20" t="n">
        <v>3.32805</v>
      </c>
      <c r="E248" s="20" t="n">
        <v>3.358476</v>
      </c>
      <c r="F248" s="20" t="n">
        <v>3.33077</v>
      </c>
      <c r="G248" s="20" t="n">
        <v>3.362832</v>
      </c>
      <c r="H248" s="20" t="n">
        <v>3.376664</v>
      </c>
      <c r="I248" s="20" t="n">
        <v>3.373226</v>
      </c>
      <c r="J248" s="20" t="n">
        <v>3.385908</v>
      </c>
      <c r="K248" s="20" t="n">
        <v>3.47403</v>
      </c>
      <c r="L248" s="20" t="n">
        <v>3.54394</v>
      </c>
      <c r="M248" s="20" t="n">
        <v>3.563196</v>
      </c>
      <c r="N248" s="20" t="n">
        <v>3.408608</v>
      </c>
      <c r="O248" s="20" t="n">
        <v>3.424706</v>
      </c>
      <c r="P248" s="20" t="n">
        <v>3.464094</v>
      </c>
      <c r="Q248" s="20" t="n">
        <v>3.451494</v>
      </c>
      <c r="R248" s="20" t="n">
        <v>3.428424</v>
      </c>
      <c r="S248" s="20" t="n">
        <v>3.440912</v>
      </c>
      <c r="T248" s="23">
        <f>IFERROR(AVERAGE(D248:S248),"")</f>
        <v/>
      </c>
    </row>
    <row r="249">
      <c r="A249" s="22" t="n">
        <v>45131</v>
      </c>
      <c r="B249" s="22" t="n">
        <v>45135</v>
      </c>
      <c r="C249">
        <f>TEXT(A249,"yyyy-mm")</f>
        <v/>
      </c>
      <c r="D249" s="20" t="n">
        <v>3.52144</v>
      </c>
      <c r="E249" s="20" t="n">
        <v>3.550496</v>
      </c>
      <c r="F249" s="20" t="n">
        <v>3.523458</v>
      </c>
      <c r="G249" s="20" t="n">
        <v>3.555096</v>
      </c>
      <c r="H249" s="20" t="n">
        <v>3.569254</v>
      </c>
      <c r="I249" s="20" t="n">
        <v>3.565456</v>
      </c>
      <c r="J249" s="20" t="n">
        <v>3.579724</v>
      </c>
      <c r="K249" s="20" t="n">
        <v>3.665004</v>
      </c>
      <c r="L249" s="20" t="n">
        <v>3.734528</v>
      </c>
      <c r="M249" s="20" t="n">
        <v>3.753556</v>
      </c>
      <c r="N249" s="20" t="n">
        <v>3.600814</v>
      </c>
      <c r="O249" s="20" t="n">
        <v>3.616722</v>
      </c>
      <c r="P249" s="20" t="n">
        <v>3.65564</v>
      </c>
      <c r="Q249" s="20" t="n">
        <v>3.643188</v>
      </c>
      <c r="R249" s="20" t="n">
        <v>3.619994</v>
      </c>
      <c r="S249" s="20" t="n">
        <v>3.634068</v>
      </c>
      <c r="T249" s="23">
        <f>IFERROR(AVERAGE(D249:S249),"")</f>
        <v/>
      </c>
    </row>
    <row r="250">
      <c r="A250" s="22" t="n">
        <v>45138</v>
      </c>
      <c r="B250" s="22" t="n">
        <v>45142</v>
      </c>
      <c r="C250">
        <f>TEXT(A250,"yyyy-mm")</f>
        <v/>
      </c>
      <c r="D250" s="20" t="n">
        <v>3.836446</v>
      </c>
      <c r="E250" s="20" t="n">
        <v>3.861724</v>
      </c>
      <c r="F250" s="20" t="n">
        <v>3.836084</v>
      </c>
      <c r="G250" s="20" t="n">
        <v>3.86623</v>
      </c>
      <c r="H250" s="20" t="n">
        <v>3.879922</v>
      </c>
      <c r="I250" s="20" t="n">
        <v>3.875514</v>
      </c>
      <c r="J250" s="20" t="n">
        <v>3.89044</v>
      </c>
      <c r="K250" s="20" t="n">
        <v>3.980006</v>
      </c>
      <c r="L250" s="20" t="n">
        <v>4.047966</v>
      </c>
      <c r="M250" s="20" t="n">
        <v>4.06731</v>
      </c>
      <c r="N250" s="20" t="n">
        <v>3.912012</v>
      </c>
      <c r="O250" s="20" t="n">
        <v>3.928184</v>
      </c>
      <c r="P250" s="20" t="n">
        <v>3.967754</v>
      </c>
      <c r="Q250" s="20" t="n">
        <v>3.955096</v>
      </c>
      <c r="R250" s="20" t="n">
        <v>3.930966</v>
      </c>
      <c r="S250" s="20" t="n">
        <v>3.945698</v>
      </c>
      <c r="T250" s="23">
        <f>IFERROR(AVERAGE(D250:S250),"")</f>
        <v/>
      </c>
    </row>
    <row r="251">
      <c r="A251" s="22" t="n">
        <v>45145</v>
      </c>
      <c r="B251" s="22" t="n">
        <v>45149</v>
      </c>
      <c r="C251">
        <f>TEXT(A251,"yyyy-mm")</f>
        <v/>
      </c>
      <c r="D251" s="20" t="n">
        <v>4.025588</v>
      </c>
      <c r="E251" s="20" t="n">
        <v>4.05001</v>
      </c>
      <c r="F251" s="20" t="n">
        <v>4.024466</v>
      </c>
      <c r="G251" s="20" t="n">
        <v>4.054664</v>
      </c>
      <c r="H251" s="20" t="n">
        <v>4.068626</v>
      </c>
      <c r="I251" s="20" t="n">
        <v>4.06414</v>
      </c>
      <c r="J251" s="20" t="n">
        <v>4.079802</v>
      </c>
      <c r="K251" s="20" t="n">
        <v>4.170724</v>
      </c>
      <c r="L251" s="20" t="n">
        <v>4.239396</v>
      </c>
      <c r="M251" s="20" t="n">
        <v>4.259055999999999</v>
      </c>
      <c r="N251" s="20" t="n">
        <v>4.101236</v>
      </c>
      <c r="O251" s="20" t="n">
        <v>4.117672</v>
      </c>
      <c r="P251" s="20" t="n">
        <v>4.157884</v>
      </c>
      <c r="Q251" s="20" t="n">
        <v>4.145018</v>
      </c>
      <c r="R251" s="20" t="n">
        <v>4.120488</v>
      </c>
      <c r="S251" s="20" t="n">
        <v>4.135954</v>
      </c>
      <c r="T251" s="23">
        <f>IFERROR(AVERAGE(D251:S251),"")</f>
        <v/>
      </c>
    </row>
    <row r="252">
      <c r="A252" s="22" t="n">
        <v>45152</v>
      </c>
      <c r="B252" s="22" t="n">
        <v>45156</v>
      </c>
      <c r="C252">
        <f>TEXT(A252,"yyyy-mm")</f>
        <v/>
      </c>
      <c r="D252" s="20" t="n">
        <v>4.093982</v>
      </c>
      <c r="E252" s="20" t="n">
        <v>4.129712</v>
      </c>
      <c r="F252" s="20" t="n">
        <v>4.098974</v>
      </c>
      <c r="G252" s="20" t="n">
        <v>4.135052</v>
      </c>
      <c r="H252" s="20" t="n">
        <v>4.151352</v>
      </c>
      <c r="I252" s="20" t="n">
        <v>4.149064</v>
      </c>
      <c r="J252" s="20" t="n">
        <v>4.163708</v>
      </c>
      <c r="K252" s="20" t="n">
        <v>4.247558</v>
      </c>
      <c r="L252" s="20" t="n">
        <v>4.32484</v>
      </c>
      <c r="M252" s="20" t="n">
        <v>4.344816</v>
      </c>
      <c r="N252" s="20" t="n">
        <v>4.18448</v>
      </c>
      <c r="O252" s="20" t="n">
        <v>4.20118</v>
      </c>
      <c r="P252" s="20" t="n">
        <v>4.242032</v>
      </c>
      <c r="Q252" s="20" t="n">
        <v>4.22896</v>
      </c>
      <c r="R252" s="20" t="n">
        <v>4.206314</v>
      </c>
      <c r="S252" s="20" t="n">
        <v>4.220756000000001</v>
      </c>
      <c r="T252" s="23">
        <f>IFERROR(AVERAGE(D252:S252),"")</f>
        <v/>
      </c>
    </row>
    <row r="253">
      <c r="A253" s="22" t="n">
        <v>45159</v>
      </c>
      <c r="B253" s="22" t="n">
        <v>45163</v>
      </c>
      <c r="C253">
        <f>TEXT(A253,"yyyy-mm")</f>
        <v/>
      </c>
      <c r="D253" s="20" t="n">
        <v>4.115729999999999</v>
      </c>
      <c r="E253" s="20" t="n">
        <v>4.149618</v>
      </c>
      <c r="F253" s="20" t="n">
        <v>4.119982</v>
      </c>
      <c r="G253" s="20" t="n">
        <v>4.154536</v>
      </c>
      <c r="H253" s="20" t="n">
        <v>4.169818</v>
      </c>
      <c r="I253" s="20" t="n">
        <v>4.167126000000001</v>
      </c>
      <c r="J253" s="20" t="n">
        <v>4.180770000000001</v>
      </c>
      <c r="K253" s="20" t="n">
        <v>4.266515999999999</v>
      </c>
      <c r="L253" s="20" t="n">
        <v>4.340912</v>
      </c>
      <c r="M253" s="20" t="n">
        <v>4.360609999999999</v>
      </c>
      <c r="N253" s="20" t="n">
        <v>4.20249</v>
      </c>
      <c r="O253" s="20" t="n">
        <v>4.218956</v>
      </c>
      <c r="P253" s="20" t="n">
        <v>4.259246</v>
      </c>
      <c r="Q253" s="20" t="n">
        <v>4.246354</v>
      </c>
      <c r="R253" s="20" t="n">
        <v>4.223584</v>
      </c>
      <c r="S253" s="20" t="n">
        <v>4.23703</v>
      </c>
      <c r="T253" s="23">
        <f>IFERROR(AVERAGE(D253:S253),"")</f>
        <v/>
      </c>
    </row>
    <row r="254">
      <c r="A254" s="22" t="n">
        <v>45166</v>
      </c>
      <c r="B254" s="22" t="n">
        <v>45170</v>
      </c>
      <c r="C254">
        <f>TEXT(A254,"yyyy-mm")</f>
        <v/>
      </c>
      <c r="D254" s="20" t="n">
        <v>4.135167999999999</v>
      </c>
      <c r="E254" s="20" t="n">
        <v>4.166258</v>
      </c>
      <c r="F254" s="20" t="n">
        <v>4.137886000000001</v>
      </c>
      <c r="G254" s="20" t="n">
        <v>4.170946</v>
      </c>
      <c r="H254" s="20" t="n">
        <v>4.185544</v>
      </c>
      <c r="I254" s="20" t="n">
        <v>4.182334</v>
      </c>
      <c r="J254" s="20" t="n">
        <v>4.195971999999999</v>
      </c>
      <c r="K254" s="20" t="n">
        <v>4.284248</v>
      </c>
      <c r="L254" s="20" t="n">
        <v>4.356444000000001</v>
      </c>
      <c r="M254" s="20" t="n">
        <v>4.376118</v>
      </c>
      <c r="N254" s="20" t="n">
        <v>4.218182</v>
      </c>
      <c r="O254" s="20" t="n">
        <v>4.23463</v>
      </c>
      <c r="P254" s="20" t="n">
        <v>4.27487</v>
      </c>
      <c r="Q254" s="20" t="n">
        <v>4.261992</v>
      </c>
      <c r="R254" s="20" t="n">
        <v>4.238724</v>
      </c>
      <c r="S254" s="20" t="n">
        <v>4.252166</v>
      </c>
      <c r="T254" s="23">
        <f>IFERROR(AVERAGE(D254:S254),"")</f>
        <v/>
      </c>
    </row>
    <row r="255">
      <c r="A255" s="22" t="n">
        <v>45173</v>
      </c>
      <c r="B255" s="22" t="n">
        <v>45177</v>
      </c>
      <c r="C255">
        <f>TEXT(A255,"yyyy-mm")</f>
        <v/>
      </c>
      <c r="D255" s="20" t="n">
        <v>4.28696</v>
      </c>
      <c r="E255" s="20" t="n">
        <v>4.31768</v>
      </c>
      <c r="F255" s="20" t="n">
        <v>4.289245</v>
      </c>
      <c r="G255" s="20" t="n">
        <v>4.322335</v>
      </c>
      <c r="H255" s="20" t="n">
        <v>4.33688</v>
      </c>
      <c r="I255" s="20" t="n">
        <v>4.333705</v>
      </c>
      <c r="J255" s="20" t="n">
        <v>4.347138</v>
      </c>
      <c r="K255" s="20" t="n">
        <v>4.437983</v>
      </c>
      <c r="L255" s="20" t="n">
        <v>4.51055</v>
      </c>
      <c r="M255" s="20" t="n">
        <v>4.530545</v>
      </c>
      <c r="N255" s="20" t="n">
        <v>4.370045</v>
      </c>
      <c r="O255" s="20" t="n">
        <v>4.386763</v>
      </c>
      <c r="P255" s="20" t="n">
        <v>4.427653</v>
      </c>
      <c r="Q255" s="20" t="n">
        <v>4.414568</v>
      </c>
      <c r="R255" s="20" t="n">
        <v>4.391013</v>
      </c>
      <c r="S255" s="20" t="n">
        <v>4.404243</v>
      </c>
      <c r="T255" s="23">
        <f>IFERROR(AVERAGE(D255:S255),"")</f>
        <v/>
      </c>
    </row>
    <row r="256">
      <c r="A256" s="22" t="n">
        <v>45180</v>
      </c>
      <c r="B256" s="22" t="n">
        <v>45184</v>
      </c>
      <c r="C256">
        <f>TEXT(A256,"yyyy-mm")</f>
        <v/>
      </c>
      <c r="D256" s="20" t="n">
        <v>4.418412</v>
      </c>
      <c r="E256" s="20" t="n">
        <v>4.436738</v>
      </c>
      <c r="F256" s="20" t="n">
        <v>4.414276</v>
      </c>
      <c r="G256" s="20" t="n">
        <v>4.43958</v>
      </c>
      <c r="H256" s="20" t="n">
        <v>4.449479999999999</v>
      </c>
      <c r="I256" s="20" t="n">
        <v>4.444014</v>
      </c>
      <c r="J256" s="20" t="n">
        <v>4.454104</v>
      </c>
      <c r="K256" s="20" t="n">
        <v>4.56088</v>
      </c>
      <c r="L256" s="20" t="n">
        <v>4.620652</v>
      </c>
      <c r="M256" s="20" t="n">
        <v>4.640362</v>
      </c>
      <c r="N256" s="20" t="n">
        <v>4.482166</v>
      </c>
      <c r="O256" s="20" t="n">
        <v>4.498644000000001</v>
      </c>
      <c r="P256" s="20" t="n">
        <v>4.53895</v>
      </c>
      <c r="Q256" s="20" t="n">
        <v>4.526052</v>
      </c>
      <c r="R256" s="20" t="n">
        <v>4.500494</v>
      </c>
      <c r="S256" s="20" t="n">
        <v>4.510386</v>
      </c>
      <c r="T256" s="23">
        <f>IFERROR(AVERAGE(D256:S256),"")</f>
        <v/>
      </c>
    </row>
    <row r="257">
      <c r="A257" s="22" t="n">
        <v>45187</v>
      </c>
      <c r="B257" s="22" t="n">
        <v>45191</v>
      </c>
      <c r="C257">
        <f>TEXT(A257,"yyyy-mm")</f>
        <v/>
      </c>
      <c r="D257" s="20" t="n">
        <v>4.363112</v>
      </c>
      <c r="E257" s="20" t="n">
        <v>4.37954</v>
      </c>
      <c r="F257" s="20" t="n">
        <v>4.357882</v>
      </c>
      <c r="G257" s="20" t="n">
        <v>4.382612</v>
      </c>
      <c r="H257" s="20" t="n">
        <v>4.392792</v>
      </c>
      <c r="I257" s="20" t="n">
        <v>4.386904</v>
      </c>
      <c r="J257" s="20" t="n">
        <v>4.39863</v>
      </c>
      <c r="K257" s="20" t="n">
        <v>4.503877999999999</v>
      </c>
      <c r="L257" s="20" t="n">
        <v>4.563257999999999</v>
      </c>
      <c r="M257" s="20" t="n">
        <v>4.582882</v>
      </c>
      <c r="N257" s="20" t="n">
        <v>4.42534</v>
      </c>
      <c r="O257" s="20" t="n">
        <v>4.44175</v>
      </c>
      <c r="P257" s="20" t="n">
        <v>4.481892</v>
      </c>
      <c r="Q257" s="20" t="n">
        <v>4.469046000000001</v>
      </c>
      <c r="R257" s="20" t="n">
        <v>4.443154000000001</v>
      </c>
      <c r="S257" s="20" t="n">
        <v>4.454682</v>
      </c>
      <c r="T257" s="23">
        <f>IFERROR(AVERAGE(D257:S257),"")</f>
        <v/>
      </c>
    </row>
    <row r="258">
      <c r="A258" s="22" t="n">
        <v>45194</v>
      </c>
      <c r="B258" s="22" t="n">
        <v>45198</v>
      </c>
      <c r="C258">
        <f>TEXT(A258,"yyyy-mm")</f>
        <v/>
      </c>
      <c r="D258" s="20" t="n">
        <v>4.471051999999999</v>
      </c>
      <c r="E258" s="20" t="n">
        <v>4.503354</v>
      </c>
      <c r="F258" s="20" t="n">
        <v>4.47411</v>
      </c>
      <c r="G258" s="20" t="n">
        <v>4.50809</v>
      </c>
      <c r="H258" s="20" t="n">
        <v>4.522948</v>
      </c>
      <c r="I258" s="20" t="n">
        <v>4.520118</v>
      </c>
      <c r="J258" s="20" t="n">
        <v>4.533274</v>
      </c>
      <c r="K258" s="20" t="n">
        <v>4.624038</v>
      </c>
      <c r="L258" s="20" t="n">
        <v>4.698004</v>
      </c>
      <c r="M258" s="20" t="n">
        <v>4.718158000000001</v>
      </c>
      <c r="N258" s="20" t="n">
        <v>4.556374</v>
      </c>
      <c r="O258" s="20" t="n">
        <v>4.573224</v>
      </c>
      <c r="P258" s="20" t="n">
        <v>4.614446</v>
      </c>
      <c r="Q258" s="20" t="n">
        <v>4.601254</v>
      </c>
      <c r="R258" s="20" t="n">
        <v>4.577884</v>
      </c>
      <c r="S258" s="20" t="n">
        <v>4.590836</v>
      </c>
      <c r="T258" s="23">
        <f>IFERROR(AVERAGE(D258:S258),"")</f>
        <v/>
      </c>
    </row>
    <row r="259">
      <c r="A259" s="22" t="n">
        <v>45201</v>
      </c>
      <c r="B259" s="22" t="n">
        <v>45205</v>
      </c>
      <c r="C259">
        <f>TEXT(A259,"yyyy-mm")</f>
        <v/>
      </c>
      <c r="D259" s="20" t="n">
        <v>4.416698</v>
      </c>
      <c r="E259" s="20" t="n">
        <v>4.447524</v>
      </c>
      <c r="F259" s="20" t="n">
        <v>4.418424</v>
      </c>
      <c r="G259" s="20" t="n">
        <v>4.452704</v>
      </c>
      <c r="H259" s="20" t="n">
        <v>4.46838</v>
      </c>
      <c r="I259" s="20" t="n">
        <v>4.465386000000001</v>
      </c>
      <c r="J259" s="20" t="n">
        <v>4.480600000000001</v>
      </c>
      <c r="K259" s="20" t="n">
        <v>4.57208</v>
      </c>
      <c r="L259" s="20" t="n">
        <v>4.647792000000001</v>
      </c>
      <c r="M259" s="20" t="n">
        <v>4.668446</v>
      </c>
      <c r="N259" s="20" t="n">
        <v>4.50264</v>
      </c>
      <c r="O259" s="20" t="n">
        <v>4.519906</v>
      </c>
      <c r="P259" s="20" t="n">
        <v>4.562154</v>
      </c>
      <c r="Q259" s="20" t="n">
        <v>4.548636</v>
      </c>
      <c r="R259" s="20" t="n">
        <v>4.524588</v>
      </c>
      <c r="S259" s="20" t="n">
        <v>4.539596</v>
      </c>
      <c r="T259" s="23">
        <f>IFERROR(AVERAGE(D259:S259),"")</f>
        <v/>
      </c>
    </row>
    <row r="260">
      <c r="A260" s="22" t="n">
        <v>45208</v>
      </c>
      <c r="B260" s="22" t="n">
        <v>45212</v>
      </c>
      <c r="C260">
        <f>TEXT(A260,"yyyy-mm")</f>
        <v/>
      </c>
      <c r="D260" s="20" t="n">
        <v>4.170462000000001</v>
      </c>
      <c r="E260" s="20" t="n">
        <v>4.200288</v>
      </c>
      <c r="F260" s="20" t="n">
        <v>4.172004</v>
      </c>
      <c r="G260" s="20" t="n">
        <v>4.204724000000001</v>
      </c>
      <c r="H260" s="20" t="n">
        <v>4.218822</v>
      </c>
      <c r="I260" s="20" t="n">
        <v>4.215624</v>
      </c>
      <c r="J260" s="20" t="n">
        <v>4.228212</v>
      </c>
      <c r="K260" s="20" t="n">
        <v>4.32378</v>
      </c>
      <c r="L260" s="20" t="n">
        <v>4.396036</v>
      </c>
      <c r="M260" s="20" t="n">
        <v>4.416438</v>
      </c>
      <c r="N260" s="20" t="n">
        <v>4.25266</v>
      </c>
      <c r="O260" s="20" t="n">
        <v>4.269718</v>
      </c>
      <c r="P260" s="20" t="n">
        <v>4.311444000000001</v>
      </c>
      <c r="Q260" s="20" t="n">
        <v>4.298094</v>
      </c>
      <c r="R260" s="20" t="n">
        <v>4.274100000000001</v>
      </c>
      <c r="S260" s="20" t="n">
        <v>4.286482</v>
      </c>
      <c r="T260" s="23">
        <f>IFERROR(AVERAGE(D260:S260),"")</f>
        <v/>
      </c>
    </row>
    <row r="261">
      <c r="A261" s="22" t="n">
        <v>45215</v>
      </c>
      <c r="B261" s="22" t="n">
        <v>45219</v>
      </c>
      <c r="C261">
        <f>TEXT(A261,"yyyy-mm")</f>
        <v/>
      </c>
      <c r="D261" s="20" t="n">
        <v>4.26733</v>
      </c>
      <c r="E261" s="20" t="n">
        <v>4.287476</v>
      </c>
      <c r="F261" s="20" t="n">
        <v>4.263694</v>
      </c>
      <c r="G261" s="20" t="n">
        <v>4.290912000000001</v>
      </c>
      <c r="H261" s="20" t="n">
        <v>4.302202</v>
      </c>
      <c r="I261" s="20" t="n">
        <v>4.297196</v>
      </c>
      <c r="J261" s="20" t="n">
        <v>4.30887</v>
      </c>
      <c r="K261" s="20" t="n">
        <v>4.414286</v>
      </c>
      <c r="L261" s="20" t="n">
        <v>4.478042</v>
      </c>
      <c r="M261" s="20" t="n">
        <v>4.498284</v>
      </c>
      <c r="N261" s="20" t="n">
        <v>4.33578</v>
      </c>
      <c r="O261" s="20" t="n">
        <v>4.352704</v>
      </c>
      <c r="P261" s="20" t="n">
        <v>4.394108</v>
      </c>
      <c r="Q261" s="20" t="n">
        <v>4.380862</v>
      </c>
      <c r="R261" s="20" t="n">
        <v>4.355218</v>
      </c>
      <c r="S261" s="20" t="n">
        <v>4.366688</v>
      </c>
      <c r="T261" s="23">
        <f>IFERROR(AVERAGE(D261:S261),"")</f>
        <v/>
      </c>
    </row>
    <row r="262">
      <c r="A262" s="22" t="n">
        <v>45222</v>
      </c>
      <c r="B262" s="22" t="n">
        <v>45226</v>
      </c>
      <c r="C262">
        <f>TEXT(A262,"yyyy-mm")</f>
        <v/>
      </c>
      <c r="D262" s="20" t="n">
        <v>4.082224</v>
      </c>
      <c r="E262" s="20" t="n">
        <v>4.103772</v>
      </c>
      <c r="F262" s="20" t="n">
        <v>4.079396</v>
      </c>
      <c r="G262" s="20" t="n">
        <v>4.107542</v>
      </c>
      <c r="H262" s="20" t="n">
        <v>4.119586</v>
      </c>
      <c r="I262" s="20" t="n">
        <v>4.114772</v>
      </c>
      <c r="J262" s="20" t="n">
        <v>4.127453999999999</v>
      </c>
      <c r="K262" s="20" t="n">
        <v>4.229004</v>
      </c>
      <c r="L262" s="20" t="n">
        <v>4.294268</v>
      </c>
      <c r="M262" s="20" t="n">
        <v>4.31438</v>
      </c>
      <c r="N262" s="20" t="n">
        <v>4.152944000000001</v>
      </c>
      <c r="O262" s="20" t="n">
        <v>4.169758</v>
      </c>
      <c r="P262" s="20" t="n">
        <v>4.210888</v>
      </c>
      <c r="Q262" s="20" t="n">
        <v>4.197728</v>
      </c>
      <c r="R262" s="20" t="n">
        <v>4.172416</v>
      </c>
      <c r="S262" s="20" t="n">
        <v>4.184892</v>
      </c>
      <c r="T262" s="23">
        <f>IFERROR(AVERAGE(D262:S262),"")</f>
        <v/>
      </c>
    </row>
    <row r="263">
      <c r="A263" s="22" t="n">
        <v>45229</v>
      </c>
      <c r="B263" s="22" t="n">
        <v>45233</v>
      </c>
      <c r="C263">
        <f>TEXT(A263,"yyyy-mm")</f>
        <v/>
      </c>
      <c r="D263" s="20" t="n">
        <v>3.985248</v>
      </c>
      <c r="E263" s="20" t="n">
        <v>4.00712</v>
      </c>
      <c r="F263" s="20" t="n">
        <v>3.98259</v>
      </c>
      <c r="G263" s="20" t="n">
        <v>4.011142</v>
      </c>
      <c r="H263" s="20" t="n">
        <v>4.023694</v>
      </c>
      <c r="I263" s="20" t="n">
        <v>4.018894</v>
      </c>
      <c r="J263" s="20" t="n">
        <v>4.032554</v>
      </c>
      <c r="K263" s="20" t="n">
        <v>4.131628</v>
      </c>
      <c r="L263" s="20" t="n">
        <v>4.19771</v>
      </c>
      <c r="M263" s="20" t="n">
        <v>4.217746</v>
      </c>
      <c r="N263" s="20" t="n">
        <v>4.056924</v>
      </c>
      <c r="O263" s="20" t="n">
        <v>4.07367</v>
      </c>
      <c r="P263" s="20" t="n">
        <v>4.114648</v>
      </c>
      <c r="Q263" s="20" t="n">
        <v>4.101538</v>
      </c>
      <c r="R263" s="20" t="n">
        <v>4.076315999999999</v>
      </c>
      <c r="S263" s="20" t="n">
        <v>4.089774</v>
      </c>
      <c r="T263" s="23">
        <f>IFERROR(AVERAGE(D263:S263),"")</f>
        <v/>
      </c>
    </row>
    <row r="264">
      <c r="A264" s="22" t="n">
        <v>45236</v>
      </c>
      <c r="B264" s="22" t="n">
        <v>45240</v>
      </c>
      <c r="C264">
        <f>TEXT(A264,"yyyy-mm")</f>
        <v/>
      </c>
      <c r="D264" s="20" t="n">
        <v>3.733268</v>
      </c>
      <c r="E264" s="20" t="n">
        <v>3.763616</v>
      </c>
      <c r="F264" s="20" t="n">
        <v>3.735534</v>
      </c>
      <c r="G264" s="20" t="n">
        <v>3.768366</v>
      </c>
      <c r="H264" s="20" t="n">
        <v>3.783018</v>
      </c>
      <c r="I264" s="20" t="n">
        <v>3.77966</v>
      </c>
      <c r="J264" s="20" t="n">
        <v>3.793774</v>
      </c>
      <c r="K264" s="20" t="n">
        <v>3.881972</v>
      </c>
      <c r="L264" s="20" t="n">
        <v>3.954002</v>
      </c>
      <c r="M264" s="20" t="n">
        <v>3.973686</v>
      </c>
      <c r="N264" s="20" t="n">
        <v>3.815668</v>
      </c>
      <c r="O264" s="20" t="n">
        <v>3.832126</v>
      </c>
      <c r="P264" s="20" t="n">
        <v>3.872388</v>
      </c>
      <c r="Q264" s="20" t="n">
        <v>3.859504</v>
      </c>
      <c r="R264" s="20" t="n">
        <v>3.836084</v>
      </c>
      <c r="S264" s="20" t="n">
        <v>3.849996</v>
      </c>
      <c r="T264" s="23">
        <f>IFERROR(AVERAGE(D264:S264),"")</f>
        <v/>
      </c>
    </row>
    <row r="265">
      <c r="A265" s="22" t="n">
        <v>45243</v>
      </c>
      <c r="B265" s="22" t="n">
        <v>45247</v>
      </c>
      <c r="C265">
        <f>TEXT(A265,"yyyy-mm")</f>
        <v/>
      </c>
      <c r="D265" s="20" t="n">
        <v>3.610524</v>
      </c>
      <c r="E265" s="20" t="n">
        <v>3.658712</v>
      </c>
      <c r="F265" s="20" t="n">
        <v>3.622534</v>
      </c>
      <c r="G265" s="20" t="n">
        <v>3.665528</v>
      </c>
      <c r="H265" s="20" t="n">
        <v>3.685724</v>
      </c>
      <c r="I265" s="20" t="n">
        <v>3.685568</v>
      </c>
      <c r="J265" s="20" t="n">
        <v>3.702476</v>
      </c>
      <c r="K265" s="20" t="n">
        <v>3.76839</v>
      </c>
      <c r="L265" s="20" t="n">
        <v>3.856028</v>
      </c>
      <c r="M265" s="20" t="n">
        <v>3.875634</v>
      </c>
      <c r="N265" s="20" t="n">
        <v>3.718244</v>
      </c>
      <c r="O265" s="20" t="n">
        <v>3.734636</v>
      </c>
      <c r="P265" s="20" t="n">
        <v>3.774738</v>
      </c>
      <c r="Q265" s="20" t="n">
        <v>3.761906</v>
      </c>
      <c r="R265" s="20" t="n">
        <v>3.741766</v>
      </c>
      <c r="S265" s="20" t="n">
        <v>3.758476</v>
      </c>
      <c r="T265" s="23">
        <f>IFERROR(AVERAGE(D265:S265),"")</f>
        <v/>
      </c>
    </row>
    <row r="266">
      <c r="A266" s="22" t="n">
        <v>45250</v>
      </c>
      <c r="B266" s="22" t="n">
        <v>45254</v>
      </c>
      <c r="C266">
        <f>TEXT(A266,"yyyy-mm")</f>
        <v/>
      </c>
      <c r="D266" s="20" t="n">
        <v>3.593703</v>
      </c>
      <c r="E266" s="20" t="n">
        <v>3.649933</v>
      </c>
      <c r="F266" s="20" t="n">
        <v>3.61011</v>
      </c>
      <c r="G266" s="20" t="n">
        <v>3.657547</v>
      </c>
      <c r="H266" s="20" t="n">
        <v>3.679997</v>
      </c>
      <c r="I266" s="20" t="n">
        <v>3.681303</v>
      </c>
      <c r="J266" s="20" t="n">
        <v>3.698907</v>
      </c>
      <c r="K266" s="20" t="n">
        <v>3.756043</v>
      </c>
      <c r="L266" s="20" t="n">
        <v>3.850393</v>
      </c>
      <c r="M266" s="20" t="n">
        <v>3.87001</v>
      </c>
      <c r="N266" s="20" t="n">
        <v>3.712533</v>
      </c>
      <c r="O266" s="20" t="n">
        <v>3.728933</v>
      </c>
      <c r="P266" s="20" t="n">
        <v>3.769057</v>
      </c>
      <c r="Q266" s="20" t="n">
        <v>3.756217</v>
      </c>
      <c r="R266" s="20" t="n">
        <v>3.73753</v>
      </c>
      <c r="S266" s="20" t="n">
        <v>3.754937</v>
      </c>
      <c r="T266" s="23">
        <f>IFERROR(AVERAGE(D266:S266),"")</f>
        <v/>
      </c>
    </row>
    <row r="267">
      <c r="A267" s="22" t="n">
        <v>45257</v>
      </c>
      <c r="B267" s="22" t="n">
        <v>45261</v>
      </c>
      <c r="C267">
        <f>TEXT(A267,"yyyy-mm")</f>
        <v/>
      </c>
      <c r="D267" s="20" t="n">
        <v>3.586782</v>
      </c>
      <c r="E267" s="20" t="n">
        <v>3.653746</v>
      </c>
      <c r="F267" s="20" t="n">
        <v>3.60908</v>
      </c>
      <c r="G267" s="20" t="n">
        <v>3.66233</v>
      </c>
      <c r="H267" s="20" t="n">
        <v>3.687586</v>
      </c>
      <c r="I267" s="20" t="n">
        <v>3.690872</v>
      </c>
      <c r="J267" s="20" t="n">
        <v>3.708978</v>
      </c>
      <c r="K267" s="20" t="n">
        <v>3.755218</v>
      </c>
      <c r="L267" s="20" t="n">
        <v>3.858214</v>
      </c>
      <c r="M267" s="20" t="n">
        <v>3.87786</v>
      </c>
      <c r="N267" s="20" t="n">
        <v>3.72017</v>
      </c>
      <c r="O267" s="20" t="n">
        <v>3.736592</v>
      </c>
      <c r="P267" s="20" t="n">
        <v>3.77677</v>
      </c>
      <c r="Q267" s="20" t="n">
        <v>3.763916</v>
      </c>
      <c r="R267" s="20" t="n">
        <v>3.747174</v>
      </c>
      <c r="S267" s="20" t="n">
        <v>3.765082</v>
      </c>
      <c r="T267" s="23">
        <f>IFERROR(AVERAGE(D267:S267),"")</f>
        <v/>
      </c>
    </row>
    <row r="268">
      <c r="A268" s="22" t="n">
        <v>45264</v>
      </c>
      <c r="B268" s="22" t="n">
        <v>45268</v>
      </c>
      <c r="C268">
        <f>TEXT(A268,"yyyy-mm")</f>
        <v/>
      </c>
      <c r="D268" s="20" t="n">
        <v>3.366754</v>
      </c>
      <c r="E268" s="20" t="n">
        <v>3.436542</v>
      </c>
      <c r="F268" s="20" t="n">
        <v>3.390648</v>
      </c>
      <c r="G268" s="20" t="n">
        <v>3.44492</v>
      </c>
      <c r="H268" s="20" t="n">
        <v>3.470034</v>
      </c>
      <c r="I268" s="20" t="n">
        <v>3.473924</v>
      </c>
      <c r="J268" s="20" t="n">
        <v>3.490174</v>
      </c>
      <c r="K268" s="20" t="n">
        <v>3.537768</v>
      </c>
      <c r="L268" s="20" t="n">
        <v>3.641814</v>
      </c>
      <c r="M268" s="20" t="n">
        <v>3.661594</v>
      </c>
      <c r="N268" s="20" t="n">
        <v>3.502838</v>
      </c>
      <c r="O268" s="20" t="n">
        <v>3.51937</v>
      </c>
      <c r="P268" s="20" t="n">
        <v>3.559818</v>
      </c>
      <c r="Q268" s="20" t="n">
        <v>3.54688</v>
      </c>
      <c r="R268" s="20" t="n">
        <v>3.530606</v>
      </c>
      <c r="S268" s="20" t="n">
        <v>3.54666</v>
      </c>
      <c r="T268" s="23">
        <f>IFERROR(AVERAGE(D268:S268),"")</f>
        <v/>
      </c>
    </row>
    <row r="269">
      <c r="A269" s="22" t="n">
        <v>45271</v>
      </c>
      <c r="B269" s="22" t="n">
        <v>45275</v>
      </c>
      <c r="C269">
        <f>TEXT(A269,"yyyy-mm")</f>
        <v/>
      </c>
      <c r="D269" s="20" t="n">
        <v>3.253748</v>
      </c>
      <c r="E269" s="20" t="n">
        <v>3.313022</v>
      </c>
      <c r="F269" s="20" t="n">
        <v>3.271998</v>
      </c>
      <c r="G269" s="20" t="n">
        <v>3.31983</v>
      </c>
      <c r="H269" s="20" t="n">
        <v>3.34098</v>
      </c>
      <c r="I269" s="20" t="n">
        <v>3.343018</v>
      </c>
      <c r="J269" s="20" t="n">
        <v>3.356148</v>
      </c>
      <c r="K269" s="20" t="n">
        <v>3.419478</v>
      </c>
      <c r="L269" s="20" t="n">
        <v>3.51318</v>
      </c>
      <c r="M269" s="20" t="n">
        <v>3.533006</v>
      </c>
      <c r="N269" s="20" t="n">
        <v>3.373862</v>
      </c>
      <c r="O269" s="20" t="n">
        <v>3.390438</v>
      </c>
      <c r="P269" s="20" t="n">
        <v>3.430982</v>
      </c>
      <c r="Q269" s="20" t="n">
        <v>3.41801</v>
      </c>
      <c r="R269" s="20" t="n">
        <v>3.39984</v>
      </c>
      <c r="S269" s="20" t="n">
        <v>3.41277</v>
      </c>
      <c r="T269" s="23">
        <f>IFERROR(AVERAGE(D269:S269),"")</f>
        <v/>
      </c>
    </row>
    <row r="270">
      <c r="A270" s="22" t="n">
        <v>45278</v>
      </c>
      <c r="B270" s="22" t="n">
        <v>45282</v>
      </c>
      <c r="C270">
        <f>TEXT(A270,"yyyy-mm")</f>
        <v/>
      </c>
      <c r="D270" s="20" t="n">
        <v>3.44575</v>
      </c>
      <c r="E270" s="20" t="n">
        <v>3.490502</v>
      </c>
      <c r="F270" s="20" t="n">
        <v>3.45603</v>
      </c>
      <c r="G270" s="20" t="n">
        <v>3.49643</v>
      </c>
      <c r="H270" s="20" t="n">
        <v>3.5146</v>
      </c>
      <c r="I270" s="20" t="n">
        <v>3.513868</v>
      </c>
      <c r="J270" s="20" t="n">
        <v>3.528206</v>
      </c>
      <c r="K270" s="20" t="n">
        <v>3.601936</v>
      </c>
      <c r="L270" s="20" t="n">
        <v>3.68496</v>
      </c>
      <c r="M270" s="20" t="n">
        <v>3.704572</v>
      </c>
      <c r="N270" s="20" t="n">
        <v>3.54713</v>
      </c>
      <c r="O270" s="20" t="n">
        <v>3.563528</v>
      </c>
      <c r="P270" s="20" t="n">
        <v>3.603642</v>
      </c>
      <c r="Q270" s="20" t="n">
        <v>3.590806</v>
      </c>
      <c r="R270" s="20" t="n">
        <v>3.570084</v>
      </c>
      <c r="S270" s="20" t="n">
        <v>3.584222</v>
      </c>
      <c r="T270" s="23">
        <f>IFERROR(AVERAGE(D270:S270),"")</f>
        <v/>
      </c>
    </row>
    <row r="271">
      <c r="A271" s="22" t="n">
        <v>45285</v>
      </c>
      <c r="B271" s="22" t="n">
        <v>45289</v>
      </c>
      <c r="C271">
        <f>TEXT(A271,"yyyy-mm")</f>
        <v/>
      </c>
      <c r="D271" s="20" t="n">
        <v>3.37033</v>
      </c>
      <c r="E271" s="20" t="n">
        <v>3.408043</v>
      </c>
      <c r="F271" s="20" t="n">
        <v>3.376868</v>
      </c>
      <c r="G271" s="20" t="n">
        <v>3.413293</v>
      </c>
      <c r="H271" s="20" t="n">
        <v>3.429525</v>
      </c>
      <c r="I271" s="20" t="n">
        <v>3.427455</v>
      </c>
      <c r="J271" s="20" t="n">
        <v>3.441385</v>
      </c>
      <c r="K271" s="20" t="n">
        <v>3.521498</v>
      </c>
      <c r="L271" s="20" t="n">
        <v>3.598398</v>
      </c>
      <c r="M271" s="20" t="n">
        <v>3.61784</v>
      </c>
      <c r="N271" s="20" t="n">
        <v>3.461773</v>
      </c>
      <c r="O271" s="20" t="n">
        <v>3.478025</v>
      </c>
      <c r="P271" s="20" t="n">
        <v>3.51779</v>
      </c>
      <c r="Q271" s="20" t="n">
        <v>3.505068</v>
      </c>
      <c r="R271" s="20" t="n">
        <v>3.48318</v>
      </c>
      <c r="S271" s="20" t="n">
        <v>3.496913</v>
      </c>
      <c r="T271" s="23">
        <f>IFERROR(AVERAGE(D271:S271),"")</f>
        <v/>
      </c>
    </row>
    <row r="272">
      <c r="A272" s="22" t="n">
        <v>45292</v>
      </c>
      <c r="B272" s="22" t="n">
        <v>45296</v>
      </c>
      <c r="C272">
        <f>TEXT(A272,"yyyy-mm")</f>
        <v/>
      </c>
      <c r="D272" s="20" t="n">
        <v>3.326788</v>
      </c>
      <c r="E272" s="20" t="n">
        <v>3.338548</v>
      </c>
      <c r="F272" s="20" t="n">
        <v>3.325835</v>
      </c>
      <c r="G272" s="20" t="n">
        <v>3.34265</v>
      </c>
      <c r="H272" s="20" t="n">
        <v>3.350085</v>
      </c>
      <c r="I272" s="20" t="n">
        <v>3.3522</v>
      </c>
      <c r="J272" s="20" t="n">
        <v>3.357908</v>
      </c>
      <c r="K272" s="20" t="n">
        <v>3.472295</v>
      </c>
      <c r="L272" s="20" t="n">
        <v>3.521095</v>
      </c>
      <c r="M272" s="20" t="n">
        <v>3.540783</v>
      </c>
      <c r="N272" s="20" t="n">
        <v>3.38274</v>
      </c>
      <c r="O272" s="20" t="n">
        <v>3.3992</v>
      </c>
      <c r="P272" s="20" t="n">
        <v>3.439468</v>
      </c>
      <c r="Q272" s="20" t="n">
        <v>3.42658</v>
      </c>
      <c r="R272" s="20" t="n">
        <v>3.408628</v>
      </c>
      <c r="S272" s="20" t="n">
        <v>3.414138</v>
      </c>
      <c r="T272" s="23">
        <f>IFERROR(AVERAGE(D272:S272),"")</f>
        <v/>
      </c>
    </row>
    <row r="273">
      <c r="A273" s="22" t="n">
        <v>45299</v>
      </c>
      <c r="B273" s="22" t="n">
        <v>45303</v>
      </c>
      <c r="C273">
        <f>TEXT(A273,"yyyy-mm")</f>
        <v/>
      </c>
      <c r="D273" s="20" t="n">
        <v>3.430872</v>
      </c>
      <c r="E273" s="20" t="n">
        <v>3.451</v>
      </c>
      <c r="F273" s="20" t="n">
        <v>3.415498</v>
      </c>
      <c r="G273" s="20" t="n">
        <v>3.455142</v>
      </c>
      <c r="H273" s="20" t="n">
        <v>3.455182</v>
      </c>
      <c r="I273" s="20" t="n">
        <v>3.47617</v>
      </c>
      <c r="J273" s="20" t="n">
        <v>3.463068</v>
      </c>
      <c r="K273" s="20" t="n">
        <v>3.561316</v>
      </c>
      <c r="L273" s="20" t="n">
        <v>3.62544</v>
      </c>
      <c r="M273" s="20" t="n">
        <v>3.64504</v>
      </c>
      <c r="N273" s="20" t="n">
        <v>3.487692</v>
      </c>
      <c r="O273" s="20" t="n">
        <v>3.504082</v>
      </c>
      <c r="P273" s="20" t="n">
        <v>3.54417</v>
      </c>
      <c r="Q273" s="20" t="n">
        <v>3.531346</v>
      </c>
      <c r="R273" s="20" t="n">
        <v>3.532348</v>
      </c>
      <c r="S273" s="20" t="n">
        <v>3.519048</v>
      </c>
      <c r="T273" s="23">
        <f>IFERROR(AVERAGE(D273:S273),"")</f>
        <v/>
      </c>
    </row>
    <row r="274">
      <c r="A274" s="22" t="n">
        <v>45306</v>
      </c>
      <c r="B274" s="22" t="n">
        <v>45310</v>
      </c>
      <c r="C274">
        <f>TEXT(A274,"yyyy-mm")</f>
        <v/>
      </c>
      <c r="D274" s="20" t="n">
        <v>3.528975</v>
      </c>
      <c r="E274" s="20" t="n">
        <v>3.54804</v>
      </c>
      <c r="F274" s="20" t="n">
        <v>3.512788</v>
      </c>
      <c r="G274" s="20" t="n">
        <v>3.55213</v>
      </c>
      <c r="H274" s="20" t="n">
        <v>3.552053</v>
      </c>
      <c r="I274" s="20" t="n">
        <v>3.572935</v>
      </c>
      <c r="J274" s="20" t="n">
        <v>3.559815</v>
      </c>
      <c r="K274" s="20" t="n">
        <v>3.66009</v>
      </c>
      <c r="L274" s="20" t="n">
        <v>3.724045</v>
      </c>
      <c r="M274" s="20" t="n">
        <v>3.743845</v>
      </c>
      <c r="N274" s="20" t="n">
        <v>3.584895</v>
      </c>
      <c r="O274" s="20" t="n">
        <v>3.60145</v>
      </c>
      <c r="P274" s="20" t="n">
        <v>3.641948</v>
      </c>
      <c r="Q274" s="20" t="n">
        <v>3.628988</v>
      </c>
      <c r="R274" s="20" t="n">
        <v>3.629693</v>
      </c>
      <c r="S274" s="20" t="n">
        <v>3.61637</v>
      </c>
      <c r="T274" s="23">
        <f>IFERROR(AVERAGE(D274:S274),"")</f>
        <v/>
      </c>
    </row>
    <row r="275">
      <c r="A275" s="22" t="n">
        <v>45313</v>
      </c>
      <c r="B275" s="22" t="n">
        <v>45317</v>
      </c>
      <c r="C275">
        <f>TEXT(A275,"yyyy-mm")</f>
        <v/>
      </c>
      <c r="D275" s="20" t="n">
        <v>3.61247</v>
      </c>
      <c r="E275" s="20" t="n">
        <v>3.630102</v>
      </c>
      <c r="F275" s="20" t="n">
        <v>3.59531</v>
      </c>
      <c r="G275" s="20" t="n">
        <v>3.634438</v>
      </c>
      <c r="H275" s="20" t="n">
        <v>3.634808</v>
      </c>
      <c r="I275" s="20" t="n">
        <v>3.655416</v>
      </c>
      <c r="J275" s="20" t="n">
        <v>3.643774</v>
      </c>
      <c r="K275" s="20" t="n">
        <v>3.74299</v>
      </c>
      <c r="L275" s="20" t="n">
        <v>3.807234</v>
      </c>
      <c r="M275" s="20" t="n">
        <v>3.82709</v>
      </c>
      <c r="N275" s="20" t="n">
        <v>3.667736</v>
      </c>
      <c r="O275" s="20" t="n">
        <v>3.684332</v>
      </c>
      <c r="P275" s="20" t="n">
        <v>3.724932</v>
      </c>
      <c r="Q275" s="20" t="n">
        <v>3.71194</v>
      </c>
      <c r="R275" s="20" t="n">
        <v>3.712314</v>
      </c>
      <c r="S275" s="20" t="n">
        <v>3.700472</v>
      </c>
      <c r="T275" s="23">
        <f>IFERROR(AVERAGE(D275:S275),"")</f>
        <v/>
      </c>
    </row>
    <row r="276">
      <c r="A276" s="22" t="n">
        <v>45320</v>
      </c>
      <c r="B276" s="22" t="n">
        <v>45324</v>
      </c>
      <c r="C276">
        <f>TEXT(A276,"yyyy-mm")</f>
        <v/>
      </c>
      <c r="D276" s="20" t="n">
        <v>3.768822</v>
      </c>
      <c r="E276" s="20" t="n">
        <v>3.78754</v>
      </c>
      <c r="F276" s="20" t="n">
        <v>3.752332</v>
      </c>
      <c r="G276" s="20" t="n">
        <v>3.791736</v>
      </c>
      <c r="H276" s="20" t="n">
        <v>3.791862</v>
      </c>
      <c r="I276" s="20" t="n">
        <v>3.812698</v>
      </c>
      <c r="J276" s="20" t="n">
        <v>3.800084</v>
      </c>
      <c r="K276" s="20" t="n">
        <v>3.900084</v>
      </c>
      <c r="L276" s="20" t="n">
        <v>3.964376</v>
      </c>
      <c r="M276" s="20" t="n">
        <v>3.984238</v>
      </c>
      <c r="N276" s="20" t="n">
        <v>3.824802</v>
      </c>
      <c r="O276" s="20" t="n">
        <v>3.84141</v>
      </c>
      <c r="P276" s="20" t="n">
        <v>3.88203</v>
      </c>
      <c r="Q276" s="20" t="n">
        <v>3.869036</v>
      </c>
      <c r="R276" s="20" t="n">
        <v>3.869624</v>
      </c>
      <c r="S276" s="20" t="n">
        <v>3.85681</v>
      </c>
      <c r="T276" s="23">
        <f>IFERROR(AVERAGE(D276:S276),"")</f>
        <v/>
      </c>
    </row>
    <row r="277">
      <c r="A277" s="22" t="n">
        <v>45327</v>
      </c>
      <c r="B277" s="22" t="n">
        <v>45331</v>
      </c>
      <c r="C277">
        <f>TEXT(A277,"yyyy-mm")</f>
        <v/>
      </c>
      <c r="D277" s="20" t="n">
        <v>3.834442</v>
      </c>
      <c r="E277" s="20" t="n">
        <v>3.854712</v>
      </c>
      <c r="F277" s="20" t="n">
        <v>3.818756</v>
      </c>
      <c r="G277" s="20" t="n">
        <v>3.858874</v>
      </c>
      <c r="H277" s="20" t="n">
        <v>3.858992</v>
      </c>
      <c r="I277" s="20" t="n">
        <v>3.880186</v>
      </c>
      <c r="J277" s="20" t="n">
        <v>3.866804</v>
      </c>
      <c r="K277" s="20" t="n">
        <v>3.967318</v>
      </c>
      <c r="L277" s="20" t="n">
        <v>4.032452</v>
      </c>
      <c r="M277" s="20" t="n">
        <v>4.052422</v>
      </c>
      <c r="N277" s="20" t="n">
        <v>3.892114</v>
      </c>
      <c r="O277" s="20" t="n">
        <v>3.908812</v>
      </c>
      <c r="P277" s="20" t="n">
        <v>3.949656</v>
      </c>
      <c r="Q277" s="20" t="n">
        <v>3.936588</v>
      </c>
      <c r="R277" s="20" t="n">
        <v>3.937426</v>
      </c>
      <c r="S277" s="20" t="n">
        <v>3.923842</v>
      </c>
      <c r="T277" s="23">
        <f>IFERROR(AVERAGE(D277:S277),"")</f>
        <v/>
      </c>
    </row>
    <row r="278">
      <c r="A278" s="22" t="n">
        <v>45334</v>
      </c>
      <c r="B278" s="22" t="n">
        <v>45338</v>
      </c>
      <c r="C278">
        <f>TEXT(A278,"yyyy-mm")</f>
        <v/>
      </c>
      <c r="D278" s="20" t="n">
        <v>3.989276</v>
      </c>
      <c r="E278" s="20" t="n">
        <v>4.015098</v>
      </c>
      <c r="F278" s="20" t="n">
        <v>3.976826</v>
      </c>
      <c r="G278" s="20" t="n">
        <v>4.019544</v>
      </c>
      <c r="H278" s="20" t="n">
        <v>4.020382</v>
      </c>
      <c r="I278" s="20" t="n">
        <v>4.042598</v>
      </c>
      <c r="J278" s="20" t="n">
        <v>4.028504</v>
      </c>
      <c r="K278" s="20" t="n">
        <v>4.125098</v>
      </c>
      <c r="L278" s="20" t="n">
        <v>4.193508</v>
      </c>
      <c r="M278" s="20" t="n">
        <v>4.213439999999999</v>
      </c>
      <c r="N278" s="20" t="n">
        <v>4.05344</v>
      </c>
      <c r="O278" s="20" t="n">
        <v>4.070106</v>
      </c>
      <c r="P278" s="20" t="n">
        <v>4.110872000000001</v>
      </c>
      <c r="Q278" s="20" t="n">
        <v>4.097826</v>
      </c>
      <c r="R278" s="20" t="n">
        <v>4.099728</v>
      </c>
      <c r="S278" s="20" t="n">
        <v>4.085432</v>
      </c>
      <c r="T278" s="23">
        <f>IFERROR(AVERAGE(D278:S278),"")</f>
        <v/>
      </c>
    </row>
    <row r="279">
      <c r="A279" s="22" t="n">
        <v>45341</v>
      </c>
      <c r="B279" s="22" t="n">
        <v>45345</v>
      </c>
      <c r="C279">
        <f>TEXT(A279,"yyyy-mm")</f>
        <v/>
      </c>
      <c r="D279" s="20" t="n">
        <v>3.783513</v>
      </c>
      <c r="E279" s="20" t="n">
        <v>3.812028</v>
      </c>
      <c r="F279" s="20" t="n">
        <v>3.77265</v>
      </c>
      <c r="G279" s="20" t="n">
        <v>3.816633</v>
      </c>
      <c r="H279" s="20" t="n">
        <v>3.817873</v>
      </c>
      <c r="I279" s="20" t="n">
        <v>3.84057</v>
      </c>
      <c r="J279" s="20" t="n">
        <v>3.826258</v>
      </c>
      <c r="K279" s="20" t="n">
        <v>3.920603</v>
      </c>
      <c r="L279" s="20" t="n">
        <v>3.99062</v>
      </c>
      <c r="M279" s="20" t="n">
        <v>4.010513</v>
      </c>
      <c r="N279" s="20" t="n">
        <v>3.850858</v>
      </c>
      <c r="O279" s="20" t="n">
        <v>3.867485</v>
      </c>
      <c r="P279" s="20" t="n">
        <v>3.908165</v>
      </c>
      <c r="Q279" s="20" t="n">
        <v>3.895148</v>
      </c>
      <c r="R279" s="20" t="n">
        <v>3.897573</v>
      </c>
      <c r="S279" s="20" t="n">
        <v>3.88306</v>
      </c>
      <c r="T279" s="23">
        <f>IFERROR(AVERAGE(D279:S279),"")</f>
        <v/>
      </c>
    </row>
    <row r="280">
      <c r="A280" s="22" t="n">
        <v>45348</v>
      </c>
      <c r="B280" s="22" t="n">
        <v>45352</v>
      </c>
      <c r="C280">
        <f>TEXT(A280,"yyyy-mm")</f>
        <v/>
      </c>
      <c r="D280" s="20" t="n">
        <v>3.726676</v>
      </c>
      <c r="E280" s="20" t="n">
        <v>3.751392</v>
      </c>
      <c r="F280" s="20" t="n">
        <v>3.713622</v>
      </c>
      <c r="G280" s="20" t="n">
        <v>3.75568</v>
      </c>
      <c r="H280" s="20" t="n">
        <v>3.756174</v>
      </c>
      <c r="I280" s="20" t="n">
        <v>3.778192</v>
      </c>
      <c r="J280" s="20" t="n">
        <v>3.763834</v>
      </c>
      <c r="K280" s="20" t="n">
        <v>3.861878</v>
      </c>
      <c r="L280" s="20" t="n">
        <v>3.929276</v>
      </c>
      <c r="M280" s="20" t="n">
        <v>3.949208</v>
      </c>
      <c r="N280" s="20" t="n">
        <v>3.78923</v>
      </c>
      <c r="O280" s="20" t="n">
        <v>3.805892</v>
      </c>
      <c r="P280" s="20" t="n">
        <v>3.846654</v>
      </c>
      <c r="Q280" s="20" t="n">
        <v>3.833608</v>
      </c>
      <c r="R280" s="20" t="n">
        <v>3.835314</v>
      </c>
      <c r="S280" s="20" t="n">
        <v>3.820754</v>
      </c>
      <c r="T280" s="23">
        <f>IFERROR(AVERAGE(D280:S280),"")</f>
        <v/>
      </c>
    </row>
    <row r="281">
      <c r="A281" s="22" t="n">
        <v>45355</v>
      </c>
      <c r="B281" s="22" t="n">
        <v>45359</v>
      </c>
      <c r="C281">
        <f>TEXT(A281,"yyyy-mm")</f>
        <v/>
      </c>
      <c r="D281" s="20" t="n">
        <v>3.716762</v>
      </c>
      <c r="E281" s="20" t="n">
        <v>3.755706</v>
      </c>
      <c r="F281" s="20" t="n">
        <v>3.711894</v>
      </c>
      <c r="G281" s="20" t="n">
        <v>3.760756</v>
      </c>
      <c r="H281" s="20" t="n">
        <v>3.763206</v>
      </c>
      <c r="I281" s="20" t="n">
        <v>3.78788</v>
      </c>
      <c r="J281" s="20" t="n">
        <v>3.771828</v>
      </c>
      <c r="K281" s="20" t="n">
        <v>3.859872</v>
      </c>
      <c r="L281" s="20" t="n">
        <v>3.93599</v>
      </c>
      <c r="M281" s="20" t="n">
        <v>3.955882</v>
      </c>
      <c r="N281" s="20" t="n">
        <v>3.7962</v>
      </c>
      <c r="O281" s="20" t="n">
        <v>3.812832</v>
      </c>
      <c r="P281" s="20" t="n">
        <v>3.85352</v>
      </c>
      <c r="Q281" s="20" t="n">
        <v>3.8405</v>
      </c>
      <c r="R281" s="20" t="n">
        <v>3.844892</v>
      </c>
      <c r="S281" s="20" t="n">
        <v>3.828642</v>
      </c>
      <c r="T281" s="23">
        <f>IFERROR(AVERAGE(D281:S281),"")</f>
        <v/>
      </c>
    </row>
    <row r="282">
      <c r="A282" s="22" t="n">
        <v>45362</v>
      </c>
      <c r="B282" s="22" t="n">
        <v>45366</v>
      </c>
      <c r="C282">
        <f>TEXT(A282,"yyyy-mm")</f>
        <v/>
      </c>
      <c r="D282" s="20" t="n">
        <v>3.734978</v>
      </c>
      <c r="E282" s="20" t="n">
        <v>3.7756</v>
      </c>
      <c r="F282" s="20" t="n">
        <v>3.730984</v>
      </c>
      <c r="G282" s="20" t="n">
        <v>3.780642</v>
      </c>
      <c r="H282" s="20" t="n">
        <v>3.783128</v>
      </c>
      <c r="I282" s="20" t="n">
        <v>3.80818</v>
      </c>
      <c r="J282" s="20" t="n">
        <v>3.791402</v>
      </c>
      <c r="K282" s="20" t="n">
        <v>3.879804</v>
      </c>
      <c r="L282" s="20" t="n">
        <v>3.956886</v>
      </c>
      <c r="M282" s="20" t="n">
        <v>3.97689</v>
      </c>
      <c r="N282" s="20" t="n">
        <v>3.816306</v>
      </c>
      <c r="O282" s="20" t="n">
        <v>3.833032</v>
      </c>
      <c r="P282" s="20" t="n">
        <v>3.873948</v>
      </c>
      <c r="Q282" s="20" t="n">
        <v>3.860856</v>
      </c>
      <c r="R282" s="20" t="n">
        <v>3.865516</v>
      </c>
      <c r="S282" s="20" t="n">
        <v>3.848534</v>
      </c>
      <c r="T282" s="23">
        <f>IFERROR(AVERAGE(D282:S282),"")</f>
        <v/>
      </c>
    </row>
    <row r="283">
      <c r="A283" s="22" t="n">
        <v>45369</v>
      </c>
      <c r="B283" s="22" t="n">
        <v>45373</v>
      </c>
      <c r="C283">
        <f>TEXT(A283,"yyyy-mm")</f>
        <v/>
      </c>
      <c r="D283" s="20" t="n">
        <v>3.795424</v>
      </c>
      <c r="E283" s="20" t="n">
        <v>3.829014</v>
      </c>
      <c r="F283" s="20" t="n">
        <v>3.787304</v>
      </c>
      <c r="G283" s="20" t="n">
        <v>3.83376</v>
      </c>
      <c r="H283" s="20" t="n">
        <v>3.835446</v>
      </c>
      <c r="I283" s="20" t="n">
        <v>3.859206</v>
      </c>
      <c r="J283" s="20" t="n">
        <v>3.843554</v>
      </c>
      <c r="K283" s="20" t="n">
        <v>3.936692</v>
      </c>
      <c r="L283" s="20" t="n">
        <v>4.009874</v>
      </c>
      <c r="M283" s="20" t="n">
        <v>4.029954</v>
      </c>
      <c r="N283" s="20" t="n">
        <v>3.868754</v>
      </c>
      <c r="O283" s="20" t="n">
        <v>3.885542</v>
      </c>
      <c r="P283" s="20" t="n">
        <v>3.926616</v>
      </c>
      <c r="Q283" s="20" t="n">
        <v>3.913474</v>
      </c>
      <c r="R283" s="20" t="n">
        <v>3.916762</v>
      </c>
      <c r="S283" s="20" t="n">
        <v>3.900906</v>
      </c>
      <c r="T283" s="23">
        <f>IFERROR(AVERAGE(D283:S283),"")</f>
        <v/>
      </c>
    </row>
    <row r="284">
      <c r="A284" s="22" t="n">
        <v>45376</v>
      </c>
      <c r="B284" s="22" t="n">
        <v>45380</v>
      </c>
      <c r="C284">
        <f>TEXT(A284,"yyyy-mm")</f>
        <v/>
      </c>
      <c r="D284" s="20" t="n">
        <v>3.702013</v>
      </c>
      <c r="E284" s="20" t="n">
        <v>3.746288</v>
      </c>
      <c r="F284" s="20" t="n">
        <v>3.699818</v>
      </c>
      <c r="G284" s="20" t="n">
        <v>3.752468</v>
      </c>
      <c r="H284" s="20" t="n">
        <v>3.757325</v>
      </c>
      <c r="I284" s="20" t="n">
        <v>3.782978</v>
      </c>
      <c r="J284" s="20" t="n">
        <v>3.769665</v>
      </c>
      <c r="K284" s="20" t="n">
        <v>3.848785</v>
      </c>
      <c r="L284" s="20" t="n">
        <v>3.931258</v>
      </c>
      <c r="M284" s="20" t="n">
        <v>3.951285</v>
      </c>
      <c r="N284" s="20" t="n">
        <v>3.790538</v>
      </c>
      <c r="O284" s="20" t="n">
        <v>3.80728</v>
      </c>
      <c r="P284" s="20" t="n">
        <v>3.848235</v>
      </c>
      <c r="Q284" s="20" t="n">
        <v>3.835133</v>
      </c>
      <c r="R284" s="20" t="n">
        <v>3.840375</v>
      </c>
      <c r="S284" s="20" t="n">
        <v>3.826863</v>
      </c>
      <c r="T284" s="23">
        <f>IFERROR(AVERAGE(D284:S284),"")</f>
        <v/>
      </c>
    </row>
    <row r="285">
      <c r="A285" s="22" t="n">
        <v>45383</v>
      </c>
      <c r="B285" s="22" t="n">
        <v>45387</v>
      </c>
      <c r="C285">
        <f>TEXT(A285,"yyyy-mm")</f>
        <v/>
      </c>
      <c r="D285" s="20" t="n">
        <v>3.814726</v>
      </c>
      <c r="E285" s="20" t="n">
        <v>3.856244</v>
      </c>
      <c r="F285" s="20" t="n">
        <v>3.810686</v>
      </c>
      <c r="G285" s="20" t="n">
        <v>3.862272</v>
      </c>
      <c r="H285" s="20" t="n">
        <v>3.86677</v>
      </c>
      <c r="I285" s="20" t="n">
        <v>3.892028</v>
      </c>
      <c r="J285" s="20" t="n">
        <v>3.878824</v>
      </c>
      <c r="K285" s="20" t="n">
        <v>3.961562</v>
      </c>
      <c r="L285" s="20" t="n">
        <v>4.042932</v>
      </c>
      <c r="M285" s="20" t="n">
        <v>4.063214</v>
      </c>
      <c r="N285" s="20" t="n">
        <v>3.900406</v>
      </c>
      <c r="O285" s="20" t="n">
        <v>3.917362</v>
      </c>
      <c r="P285" s="20" t="n">
        <v>3.958844</v>
      </c>
      <c r="Q285" s="20" t="n">
        <v>3.945572</v>
      </c>
      <c r="R285" s="20" t="n">
        <v>3.950158</v>
      </c>
      <c r="S285" s="20" t="n">
        <v>3.936752</v>
      </c>
      <c r="T285" s="23">
        <f>IFERROR(AVERAGE(D285:S285),"")</f>
        <v/>
      </c>
    </row>
    <row r="286">
      <c r="A286" s="22" t="n">
        <v>45390</v>
      </c>
      <c r="B286" s="22" t="n">
        <v>45394</v>
      </c>
      <c r="C286">
        <f>TEXT(A286,"yyyy-mm")</f>
        <v/>
      </c>
      <c r="D286" s="20" t="n">
        <v>3.84463</v>
      </c>
      <c r="E286" s="20" t="n">
        <v>3.880634</v>
      </c>
      <c r="F286" s="20" t="n">
        <v>3.837462</v>
      </c>
      <c r="G286" s="20" t="n">
        <v>3.886022</v>
      </c>
      <c r="H286" s="20" t="n">
        <v>3.889086</v>
      </c>
      <c r="I286" s="20" t="n">
        <v>3.913374</v>
      </c>
      <c r="J286" s="20" t="n">
        <v>3.899356</v>
      </c>
      <c r="K286" s="20" t="n">
        <v>3.988782</v>
      </c>
      <c r="L286" s="20" t="n">
        <v>4.065764</v>
      </c>
      <c r="M286" s="20" t="n">
        <v>4.086108</v>
      </c>
      <c r="N286" s="20" t="n">
        <v>3.922822</v>
      </c>
      <c r="O286" s="20" t="n">
        <v>3.93983</v>
      </c>
      <c r="P286" s="20" t="n">
        <v>3.98143</v>
      </c>
      <c r="Q286" s="20" t="n">
        <v>3.96812</v>
      </c>
      <c r="R286" s="20" t="n">
        <v>3.971676</v>
      </c>
      <c r="S286" s="20" t="n">
        <v>3.957452</v>
      </c>
      <c r="T286" s="23">
        <f>IFERROR(AVERAGE(D286:S286),"")</f>
        <v/>
      </c>
    </row>
    <row r="287">
      <c r="A287" s="22" t="n">
        <v>45397</v>
      </c>
      <c r="B287" s="22" t="n">
        <v>45401</v>
      </c>
      <c r="C287">
        <f>TEXT(A287,"yyyy-mm")</f>
        <v/>
      </c>
      <c r="D287" s="20" t="n">
        <v>3.812626</v>
      </c>
      <c r="E287" s="20" t="n">
        <v>3.83876</v>
      </c>
      <c r="F287" s="20" t="n">
        <v>3.799272</v>
      </c>
      <c r="G287" s="20" t="n">
        <v>3.843228</v>
      </c>
      <c r="H287" s="20" t="n">
        <v>3.844206</v>
      </c>
      <c r="I287" s="20" t="n">
        <v>3.866984</v>
      </c>
      <c r="J287" s="20" t="n">
        <v>3.85198</v>
      </c>
      <c r="K287" s="20" t="n">
        <v>3.955348</v>
      </c>
      <c r="L287" s="20" t="n">
        <v>4.02644</v>
      </c>
      <c r="M287" s="20" t="n">
        <v>4.04742</v>
      </c>
      <c r="N287" s="20" t="n">
        <v>3.879002</v>
      </c>
      <c r="O287" s="20" t="n">
        <v>3.896546</v>
      </c>
      <c r="P287" s="20" t="n">
        <v>3.939456</v>
      </c>
      <c r="Q287" s="20" t="n">
        <v>3.925726</v>
      </c>
      <c r="R287" s="20" t="n">
        <v>3.927122</v>
      </c>
      <c r="S287" s="20" t="n">
        <v>3.911898</v>
      </c>
      <c r="T287" s="23">
        <f>IFERROR(AVERAGE(D287:S287),"")</f>
        <v/>
      </c>
    </row>
    <row r="288">
      <c r="A288" s="22" t="n">
        <v>45404</v>
      </c>
      <c r="B288" s="22" t="n">
        <v>45408</v>
      </c>
      <c r="C288">
        <f>TEXT(A288,"yyyy-mm")</f>
        <v/>
      </c>
      <c r="D288" s="20" t="n">
        <v>3.649344</v>
      </c>
      <c r="E288" s="20" t="n">
        <v>3.667586</v>
      </c>
      <c r="F288" s="20" t="n">
        <v>3.631868</v>
      </c>
      <c r="G288" s="20" t="n">
        <v>3.671368</v>
      </c>
      <c r="H288" s="20" t="n">
        <v>3.670716</v>
      </c>
      <c r="I288" s="20" t="n">
        <v>3.69189</v>
      </c>
      <c r="J288" s="20" t="n">
        <v>3.677018</v>
      </c>
      <c r="K288" s="20" t="n">
        <v>3.785598</v>
      </c>
      <c r="L288" s="20" t="n">
        <v>3.850212</v>
      </c>
      <c r="M288" s="20" t="n">
        <v>3.870878</v>
      </c>
      <c r="N288" s="20" t="n">
        <v>3.704994</v>
      </c>
      <c r="O288" s="20" t="n">
        <v>3.72227</v>
      </c>
      <c r="P288" s="20" t="n">
        <v>3.764536</v>
      </c>
      <c r="Q288" s="20" t="n">
        <v>3.75101</v>
      </c>
      <c r="R288" s="20" t="n">
        <v>3.75112</v>
      </c>
      <c r="S288" s="20" t="n">
        <v>3.736038</v>
      </c>
      <c r="T288" s="23">
        <f>IFERROR(AVERAGE(D288:S288),"")</f>
        <v/>
      </c>
    </row>
    <row r="289">
      <c r="A289" s="22" t="n">
        <v>45411</v>
      </c>
      <c r="B289" s="22" t="n">
        <v>45415</v>
      </c>
      <c r="C289">
        <f>TEXT(A289,"yyyy-mm")</f>
        <v/>
      </c>
      <c r="D289" s="20" t="n">
        <v>3.55796</v>
      </c>
      <c r="E289" s="20" t="n">
        <v>3.57587</v>
      </c>
      <c r="F289" s="20" t="n">
        <v>3.54037</v>
      </c>
      <c r="G289" s="20" t="n">
        <v>3.579552</v>
      </c>
      <c r="H289" s="20" t="n">
        <v>3.578688</v>
      </c>
      <c r="I289" s="20" t="n">
        <v>3.599784</v>
      </c>
      <c r="J289" s="20" t="n">
        <v>3.584648</v>
      </c>
      <c r="K289" s="20" t="n">
        <v>3.693754</v>
      </c>
      <c r="L289" s="20" t="n">
        <v>3.757782</v>
      </c>
      <c r="M289" s="20" t="n">
        <v>3.778402</v>
      </c>
      <c r="N289" s="20" t="n">
        <v>3.612888</v>
      </c>
      <c r="O289" s="20" t="n">
        <v>3.630126</v>
      </c>
      <c r="P289" s="20" t="n">
        <v>3.672298</v>
      </c>
      <c r="Q289" s="20" t="n">
        <v>3.658802</v>
      </c>
      <c r="R289" s="20" t="n">
        <v>3.65888</v>
      </c>
      <c r="S289" s="20" t="n">
        <v>3.64354</v>
      </c>
      <c r="T289" s="23">
        <f>IFERROR(AVERAGE(D289:S289),"")</f>
        <v/>
      </c>
    </row>
    <row r="290">
      <c r="A290" s="22" t="n">
        <v>45418</v>
      </c>
      <c r="B290" s="22" t="n">
        <v>45422</v>
      </c>
      <c r="C290">
        <f>TEXT(A290,"yyyy-mm")</f>
        <v/>
      </c>
      <c r="D290" s="20" t="n">
        <v>3.517182</v>
      </c>
      <c r="E290" s="20" t="n">
        <v>3.54347</v>
      </c>
      <c r="F290" s="20" t="n">
        <v>3.504392</v>
      </c>
      <c r="G290" s="20" t="n">
        <v>3.547998</v>
      </c>
      <c r="H290" s="20" t="n">
        <v>3.549066</v>
      </c>
      <c r="I290" s="20" t="n">
        <v>3.571642</v>
      </c>
      <c r="J290" s="20" t="n">
        <v>3.557248</v>
      </c>
      <c r="K290" s="20" t="n">
        <v>3.656962</v>
      </c>
      <c r="L290" s="20" t="n">
        <v>3.727212</v>
      </c>
      <c r="M290" s="20" t="n">
        <v>3.74772</v>
      </c>
      <c r="N290" s="20" t="n">
        <v>3.583082</v>
      </c>
      <c r="O290" s="20" t="n">
        <v>3.60023</v>
      </c>
      <c r="P290" s="20" t="n">
        <v>3.642178</v>
      </c>
      <c r="Q290" s="20" t="n">
        <v>3.628756</v>
      </c>
      <c r="R290" s="20" t="n">
        <v>3.630424</v>
      </c>
      <c r="S290" s="20" t="n">
        <v>3.615826</v>
      </c>
      <c r="T290" s="23">
        <f>IFERROR(AVERAGE(D290:S290),"")</f>
        <v/>
      </c>
    </row>
    <row r="291">
      <c r="A291" s="22" t="n">
        <v>45425</v>
      </c>
      <c r="B291" s="22" t="n">
        <v>45429</v>
      </c>
      <c r="C291">
        <f>TEXT(A291,"yyyy-mm")</f>
        <v/>
      </c>
      <c r="D291" s="20" t="n">
        <v>3.475148</v>
      </c>
      <c r="E291" s="20" t="n">
        <v>3.493646</v>
      </c>
      <c r="F291" s="20" t="n">
        <v>3.457872</v>
      </c>
      <c r="G291" s="20" t="n">
        <v>3.49744</v>
      </c>
      <c r="H291" s="20" t="n">
        <v>3.496818</v>
      </c>
      <c r="I291" s="20" t="n">
        <v>3.518016</v>
      </c>
      <c r="J291" s="20" t="n">
        <v>3.503156</v>
      </c>
      <c r="K291" s="20" t="n">
        <v>3.611202</v>
      </c>
      <c r="L291" s="20" t="n">
        <v>3.67585</v>
      </c>
      <c r="M291" s="20" t="n">
        <v>3.696462</v>
      </c>
      <c r="N291" s="20" t="n">
        <v>3.531006</v>
      </c>
      <c r="O291" s="20" t="n">
        <v>3.54824</v>
      </c>
      <c r="P291" s="20" t="n">
        <v>3.590396</v>
      </c>
      <c r="Q291" s="20" t="n">
        <v>3.576908</v>
      </c>
      <c r="R291" s="20" t="n">
        <v>3.577094</v>
      </c>
      <c r="S291" s="20" t="n">
        <v>3.562024</v>
      </c>
      <c r="T291" s="23">
        <f>IFERROR(AVERAGE(D291:S291),"")</f>
        <v/>
      </c>
    </row>
    <row r="292">
      <c r="A292" s="22" t="n">
        <v>45432</v>
      </c>
      <c r="B292" s="22" t="n">
        <v>45436</v>
      </c>
      <c r="C292">
        <f>TEXT(A292,"yyyy-mm")</f>
        <v/>
      </c>
      <c r="D292" s="20" t="n">
        <v>3.50322</v>
      </c>
      <c r="E292" s="20" t="n">
        <v>3.520698</v>
      </c>
      <c r="F292" s="20" t="n">
        <v>3.485284</v>
      </c>
      <c r="G292" s="20" t="n">
        <v>3.52458</v>
      </c>
      <c r="H292" s="20" t="n">
        <v>3.524104</v>
      </c>
      <c r="I292" s="20" t="n">
        <v>3.54511</v>
      </c>
      <c r="J292" s="20" t="n">
        <v>3.53093</v>
      </c>
      <c r="K292" s="20" t="n">
        <v>3.638878</v>
      </c>
      <c r="L292" s="20" t="n">
        <v>3.70344</v>
      </c>
      <c r="M292" s="20" t="n">
        <v>3.724086</v>
      </c>
      <c r="N292" s="20" t="n">
        <v>3.558348</v>
      </c>
      <c r="O292" s="20" t="n">
        <v>3.575608</v>
      </c>
      <c r="P292" s="20" t="n">
        <v>3.61784</v>
      </c>
      <c r="Q292" s="20" t="n">
        <v>3.604326</v>
      </c>
      <c r="R292" s="20" t="n">
        <v>3.604288</v>
      </c>
      <c r="S292" s="20" t="n">
        <v>3.5899</v>
      </c>
      <c r="T292" s="23">
        <f>IFERROR(AVERAGE(D292:S292),"")</f>
        <v/>
      </c>
    </row>
    <row r="293">
      <c r="A293" s="22" t="n">
        <v>45439</v>
      </c>
      <c r="B293" s="22" t="n">
        <v>45443</v>
      </c>
      <c r="C293">
        <f>TEXT(A293,"yyyy-mm")</f>
        <v/>
      </c>
      <c r="D293" s="20" t="n">
        <v>3.580273</v>
      </c>
      <c r="E293" s="20" t="n">
        <v>3.621988</v>
      </c>
      <c r="F293" s="20" t="n">
        <v>3.575443</v>
      </c>
      <c r="G293" s="20" t="n">
        <v>3.628958</v>
      </c>
      <c r="H293" s="20" t="n">
        <v>3.635383</v>
      </c>
      <c r="I293" s="20" t="n">
        <v>3.660883</v>
      </c>
      <c r="J293" s="20" t="n">
        <v>3.651033</v>
      </c>
      <c r="K293" s="20" t="n">
        <v>3.730898</v>
      </c>
      <c r="L293" s="20" t="n">
        <v>3.816893</v>
      </c>
      <c r="M293" s="20" t="n">
        <v>3.837788</v>
      </c>
      <c r="N293" s="20" t="n">
        <v>3.670043</v>
      </c>
      <c r="O293" s="20" t="n">
        <v>3.687515</v>
      </c>
      <c r="P293" s="20" t="n">
        <v>3.730253</v>
      </c>
      <c r="Q293" s="20" t="n">
        <v>3.716575</v>
      </c>
      <c r="R293" s="20" t="n">
        <v>3.720778</v>
      </c>
      <c r="S293" s="20" t="n">
        <v>3.71071</v>
      </c>
      <c r="T293" s="23">
        <f>IFERROR(AVERAGE(D293:S293),"")</f>
        <v/>
      </c>
    </row>
    <row r="294">
      <c r="A294" s="22" t="n">
        <v>45446</v>
      </c>
      <c r="B294" s="22" t="n">
        <v>45450</v>
      </c>
      <c r="C294">
        <f>TEXT(A294,"yyyy-mm")</f>
        <v/>
      </c>
      <c r="D294" s="20" t="n">
        <v>3.481516</v>
      </c>
      <c r="E294" s="20" t="n">
        <v>3.526252</v>
      </c>
      <c r="F294" s="20" t="n">
        <v>3.478096</v>
      </c>
      <c r="G294" s="20" t="n">
        <v>3.53353</v>
      </c>
      <c r="H294" s="20" t="n">
        <v>3.540672</v>
      </c>
      <c r="I294" s="20" t="n">
        <v>3.566858</v>
      </c>
      <c r="J294" s="20" t="n">
        <v>3.556988</v>
      </c>
      <c r="K294" s="20" t="n">
        <v>3.635572</v>
      </c>
      <c r="L294" s="20" t="n">
        <v>3.72454</v>
      </c>
      <c r="M294" s="20" t="n">
        <v>3.745708</v>
      </c>
      <c r="N294" s="20" t="n">
        <v>3.575782</v>
      </c>
      <c r="O294" s="20" t="n">
        <v>3.59348</v>
      </c>
      <c r="P294" s="20" t="n">
        <v>3.636776</v>
      </c>
      <c r="Q294" s="20" t="n">
        <v>3.622922</v>
      </c>
      <c r="R294" s="20" t="n">
        <v>3.62753</v>
      </c>
      <c r="S294" s="20" t="n">
        <v>3.617452</v>
      </c>
      <c r="T294" s="23">
        <f>IFERROR(AVERAGE(D294:S294),"")</f>
        <v/>
      </c>
    </row>
    <row r="295">
      <c r="A295" s="22" t="n">
        <v>45453</v>
      </c>
      <c r="B295" s="22" t="n">
        <v>45457</v>
      </c>
      <c r="C295">
        <f>TEXT(A295,"yyyy-mm")</f>
        <v/>
      </c>
      <c r="D295" s="20" t="n">
        <v>3.611326</v>
      </c>
      <c r="E295" s="20" t="n">
        <v>3.631732</v>
      </c>
      <c r="F295" s="20" t="n">
        <v>3.593924</v>
      </c>
      <c r="G295" s="20" t="n">
        <v>3.63649</v>
      </c>
      <c r="H295" s="20" t="n">
        <v>3.63791</v>
      </c>
      <c r="I295" s="20" t="n">
        <v>3.659836</v>
      </c>
      <c r="J295" s="20" t="n">
        <v>3.647522</v>
      </c>
      <c r="K295" s="20" t="n">
        <v>3.754308</v>
      </c>
      <c r="L295" s="20" t="n">
        <v>3.82518</v>
      </c>
      <c r="M295" s="20" t="n">
        <v>3.84674</v>
      </c>
      <c r="N295" s="20" t="n">
        <v>3.673672</v>
      </c>
      <c r="O295" s="20" t="n">
        <v>3.691696</v>
      </c>
      <c r="P295" s="20" t="n">
        <v>3.73579</v>
      </c>
      <c r="Q295" s="20" t="n">
        <v>3.721682</v>
      </c>
      <c r="R295" s="20" t="n">
        <v>3.721632</v>
      </c>
      <c r="S295" s="20" t="n">
        <v>3.709098</v>
      </c>
      <c r="T295" s="23">
        <f>IFERROR(AVERAGE(D295:S295),"")</f>
        <v/>
      </c>
    </row>
    <row r="296">
      <c r="A296" s="22" t="n">
        <v>45460</v>
      </c>
      <c r="B296" s="22" t="n">
        <v>45464</v>
      </c>
      <c r="C296">
        <f>TEXT(A296,"yyyy-mm")</f>
        <v/>
      </c>
      <c r="D296" s="20" t="n">
        <v>3.8418</v>
      </c>
      <c r="E296" s="20" t="n">
        <v>3.883763</v>
      </c>
      <c r="F296" s="20" t="n">
        <v>3.836288</v>
      </c>
      <c r="G296" s="20" t="n">
        <v>3.89034</v>
      </c>
      <c r="H296" s="20" t="n">
        <v>3.896058</v>
      </c>
      <c r="I296" s="20" t="n">
        <v>3.92209</v>
      </c>
      <c r="J296" s="20" t="n">
        <v>3.909703</v>
      </c>
      <c r="K296" s="20" t="n">
        <v>3.998553</v>
      </c>
      <c r="L296" s="20" t="n">
        <v>4.08552</v>
      </c>
      <c r="M296" s="20" t="n">
        <v>4.107333</v>
      </c>
      <c r="N296" s="20" t="n">
        <v>3.932235</v>
      </c>
      <c r="O296" s="20" t="n">
        <v>3.950473</v>
      </c>
      <c r="P296" s="20" t="n">
        <v>3.995088</v>
      </c>
      <c r="Q296" s="20" t="n">
        <v>3.98081</v>
      </c>
      <c r="R296" s="20" t="n">
        <v>3.98461</v>
      </c>
      <c r="S296" s="20" t="n">
        <v>3.971998</v>
      </c>
      <c r="T296" s="23">
        <f>IFERROR(AVERAGE(D296:S296),"")</f>
        <v/>
      </c>
    </row>
    <row r="297">
      <c r="A297" s="22" t="n">
        <v>45467</v>
      </c>
      <c r="B297" s="22" t="n">
        <v>45471</v>
      </c>
      <c r="C297">
        <f>TEXT(A297,"yyyy-mm")</f>
        <v/>
      </c>
      <c r="D297" s="20" t="n">
        <v>3.947146</v>
      </c>
      <c r="E297" s="20" t="n">
        <v>3.99807</v>
      </c>
      <c r="F297" s="20" t="n">
        <v>3.946468</v>
      </c>
      <c r="G297" s="20" t="n">
        <v>4.005312</v>
      </c>
      <c r="H297" s="20" t="n">
        <v>4.012642</v>
      </c>
      <c r="I297" s="20" t="n">
        <v>4.040454</v>
      </c>
      <c r="J297" s="20" t="n">
        <v>4.027542</v>
      </c>
      <c r="K297" s="20" t="n">
        <v>4.110542000000001</v>
      </c>
      <c r="L297" s="20" t="n">
        <v>4.204216000000001</v>
      </c>
      <c r="M297" s="20" t="n">
        <v>4.226274</v>
      </c>
      <c r="N297" s="20" t="n">
        <v>4.049224000000001</v>
      </c>
      <c r="O297" s="20" t="n">
        <v>4.067666</v>
      </c>
      <c r="P297" s="20" t="n">
        <v>4.112772</v>
      </c>
      <c r="Q297" s="20" t="n">
        <v>4.098338</v>
      </c>
      <c r="R297" s="20" t="n">
        <v>4.103668</v>
      </c>
      <c r="S297" s="20" t="n">
        <v>4.090536</v>
      </c>
      <c r="T297" s="23">
        <f>IFERROR(AVERAGE(D297:S297),"")</f>
        <v/>
      </c>
    </row>
    <row r="298">
      <c r="A298" s="22" t="n">
        <v>45474</v>
      </c>
      <c r="B298" s="22" t="n">
        <v>45478</v>
      </c>
      <c r="C298">
        <f>TEXT(A298,"yyyy-mm")</f>
        <v/>
      </c>
      <c r="D298" s="20" t="n">
        <v>4.092447</v>
      </c>
      <c r="E298" s="20" t="n">
        <v>4.135877000000001</v>
      </c>
      <c r="F298" s="20" t="n">
        <v>4.08704</v>
      </c>
      <c r="G298" s="20" t="n">
        <v>4.142227</v>
      </c>
      <c r="H298" s="20" t="n">
        <v>4.147613000000001</v>
      </c>
      <c r="I298" s="20" t="n">
        <v>4.174333</v>
      </c>
      <c r="J298" s="20" t="n">
        <v>4.159823</v>
      </c>
      <c r="K298" s="20" t="n">
        <v>4.255293</v>
      </c>
      <c r="L298" s="20" t="n">
        <v>4.344067</v>
      </c>
      <c r="M298" s="20" t="n">
        <v>4.366687</v>
      </c>
      <c r="N298" s="20" t="n">
        <v>4.185127</v>
      </c>
      <c r="O298" s="20" t="n">
        <v>4.204037</v>
      </c>
      <c r="P298" s="20" t="n">
        <v>4.250297</v>
      </c>
      <c r="Q298" s="20" t="n">
        <v>4.235497000000001</v>
      </c>
      <c r="R298" s="20" t="n">
        <v>4.23916</v>
      </c>
      <c r="S298" s="20" t="n">
        <v>4.224423</v>
      </c>
      <c r="T298" s="23">
        <f>IFERROR(AVERAGE(D298:S298),"")</f>
        <v/>
      </c>
    </row>
    <row r="299">
      <c r="A299" s="22" t="n">
        <v>45481</v>
      </c>
      <c r="B299" s="22" t="n">
        <v>45485</v>
      </c>
      <c r="C299">
        <f>TEXT(A299,"yyyy-mm")</f>
        <v/>
      </c>
      <c r="D299" s="20" t="n">
        <v>3.836188</v>
      </c>
      <c r="E299" s="20" t="n">
        <v>3.861384</v>
      </c>
      <c r="F299" s="20" t="n">
        <v>3.821214</v>
      </c>
      <c r="G299" s="20" t="n">
        <v>3.866516</v>
      </c>
      <c r="H299" s="20" t="n">
        <v>3.868848</v>
      </c>
      <c r="I299" s="20" t="n">
        <v>3.891792</v>
      </c>
      <c r="J299" s="20" t="n">
        <v>3.87915</v>
      </c>
      <c r="K299" s="20" t="n">
        <v>3.983592</v>
      </c>
      <c r="L299" s="20" t="n">
        <v>4.058446</v>
      </c>
      <c r="M299" s="20" t="n">
        <v>4.080274</v>
      </c>
      <c r="N299" s="20" t="n">
        <v>3.905052</v>
      </c>
      <c r="O299" s="20" t="n">
        <v>3.923302</v>
      </c>
      <c r="P299" s="20" t="n">
        <v>3.967946</v>
      </c>
      <c r="Q299" s="20" t="n">
        <v>3.953662</v>
      </c>
      <c r="R299" s="20" t="n">
        <v>3.954356</v>
      </c>
      <c r="S299" s="20" t="n">
        <v>3.941494</v>
      </c>
      <c r="T299" s="23">
        <f>IFERROR(AVERAGE(D299:S299),"")</f>
        <v/>
      </c>
    </row>
    <row r="300">
      <c r="A300" s="22" t="n">
        <v>45488</v>
      </c>
      <c r="B300" s="22" t="n">
        <v>45492</v>
      </c>
      <c r="C300">
        <f>TEXT(A300,"yyyy-mm")</f>
        <v/>
      </c>
      <c r="D300" s="20" t="n">
        <v>3.822618</v>
      </c>
      <c r="E300" s="20" t="n">
        <v>3.860092</v>
      </c>
      <c r="F300" s="20" t="n">
        <v>3.814298</v>
      </c>
      <c r="G300" s="20" t="n">
        <v>3.86624</v>
      </c>
      <c r="H300" s="20" t="n">
        <v>3.870994</v>
      </c>
      <c r="I300" s="20" t="n">
        <v>3.896338</v>
      </c>
      <c r="J300" s="20" t="n">
        <v>3.883472</v>
      </c>
      <c r="K300" s="20" t="n">
        <v>3.978696</v>
      </c>
      <c r="L300" s="20" t="n">
        <v>4.062948</v>
      </c>
      <c r="M300" s="20" t="n">
        <v>4.085048</v>
      </c>
      <c r="N300" s="20" t="n">
        <v>3.907648</v>
      </c>
      <c r="O300" s="20" t="n">
        <v>3.926124</v>
      </c>
      <c r="P300" s="20" t="n">
        <v>3.971322</v>
      </c>
      <c r="Q300" s="20" t="n">
        <v>3.95686</v>
      </c>
      <c r="R300" s="20" t="n">
        <v>3.959676</v>
      </c>
      <c r="S300" s="20" t="n">
        <v>3.946588</v>
      </c>
      <c r="T300" s="23">
        <f>IFERROR(AVERAGE(D300:S300),"")</f>
        <v/>
      </c>
    </row>
    <row r="301">
      <c r="A301" s="22" t="n">
        <v>45495</v>
      </c>
      <c r="B301" s="22" t="n">
        <v>45499</v>
      </c>
      <c r="C301">
        <f>TEXT(A301,"yyyy-mm")</f>
        <v/>
      </c>
      <c r="D301" s="20" t="n">
        <v>3.789856</v>
      </c>
      <c r="E301" s="20" t="n">
        <v>3.81693</v>
      </c>
      <c r="F301" s="20" t="n">
        <v>3.775228</v>
      </c>
      <c r="G301" s="20" t="n">
        <v>3.82201</v>
      </c>
      <c r="H301" s="20" t="n">
        <v>3.824364</v>
      </c>
      <c r="I301" s="20" t="n">
        <v>3.848036</v>
      </c>
      <c r="J301" s="20" t="n">
        <v>3.833892</v>
      </c>
      <c r="K301" s="20" t="n">
        <v>3.943274</v>
      </c>
      <c r="L301" s="20" t="n">
        <v>4.020572</v>
      </c>
      <c r="M301" s="20" t="n">
        <v>4.043162</v>
      </c>
      <c r="N301" s="20" t="n">
        <v>3.861828</v>
      </c>
      <c r="O301" s="20" t="n">
        <v>3.880714</v>
      </c>
      <c r="P301" s="20" t="n">
        <v>3.926916</v>
      </c>
      <c r="Q301" s="20" t="n">
        <v>3.912134</v>
      </c>
      <c r="R301" s="20" t="n">
        <v>3.912782</v>
      </c>
      <c r="S301" s="20" t="n">
        <v>3.898412</v>
      </c>
      <c r="T301" s="23">
        <f>IFERROR(AVERAGE(D301:S301),"")</f>
        <v/>
      </c>
    </row>
    <row r="302">
      <c r="A302" s="22" t="n">
        <v>45502</v>
      </c>
      <c r="B302" s="22" t="n">
        <v>45506</v>
      </c>
      <c r="C302">
        <f>TEXT(A302,"yyyy-mm")</f>
        <v/>
      </c>
      <c r="D302" s="20" t="n">
        <v>3.735446</v>
      </c>
      <c r="E302" s="20" t="n">
        <v>3.758198</v>
      </c>
      <c r="F302" s="20" t="n">
        <v>3.71827</v>
      </c>
      <c r="G302" s="20" t="n">
        <v>3.762622</v>
      </c>
      <c r="H302" s="20" t="n">
        <v>3.76354</v>
      </c>
      <c r="I302" s="20" t="n">
        <v>3.786538</v>
      </c>
      <c r="J302" s="20" t="n">
        <v>3.770958</v>
      </c>
      <c r="K302" s="20" t="n">
        <v>3.887732</v>
      </c>
      <c r="L302" s="20" t="n">
        <v>3.961404</v>
      </c>
      <c r="M302" s="20" t="n">
        <v>3.984186</v>
      </c>
      <c r="N302" s="20" t="n">
        <v>3.801324</v>
      </c>
      <c r="O302" s="20" t="n">
        <v>3.82037</v>
      </c>
      <c r="P302" s="20" t="n">
        <v>3.86696</v>
      </c>
      <c r="Q302" s="20" t="n">
        <v>3.852052</v>
      </c>
      <c r="R302" s="20" t="n">
        <v>3.851828</v>
      </c>
      <c r="S302" s="20" t="n">
        <v>3.83602</v>
      </c>
      <c r="T302" s="23">
        <f>IFERROR(AVERAGE(D302:S302),"")</f>
        <v/>
      </c>
    </row>
    <row r="303">
      <c r="A303" s="22" t="n">
        <v>45509</v>
      </c>
      <c r="B303" s="22" t="n">
        <v>45513</v>
      </c>
      <c r="C303">
        <f>TEXT(A303,"yyyy-mm")</f>
        <v/>
      </c>
      <c r="D303" s="20" t="n">
        <v>3.57742</v>
      </c>
      <c r="E303" s="20" t="n">
        <v>3.5972</v>
      </c>
      <c r="F303" s="20" t="n">
        <v>3.558882</v>
      </c>
      <c r="G303" s="20" t="n">
        <v>3.601104</v>
      </c>
      <c r="H303" s="20" t="n">
        <v>3.600888</v>
      </c>
      <c r="I303" s="20" t="n">
        <v>3.62325</v>
      </c>
      <c r="J303" s="20" t="n">
        <v>3.606734</v>
      </c>
      <c r="K303" s="20" t="n">
        <v>3.726684</v>
      </c>
      <c r="L303" s="20" t="n">
        <v>3.796808</v>
      </c>
      <c r="M303" s="20" t="n">
        <v>3.819366</v>
      </c>
      <c r="N303" s="20" t="n">
        <v>3.638298</v>
      </c>
      <c r="O303" s="20" t="n">
        <v>3.657156</v>
      </c>
      <c r="P303" s="20" t="n">
        <v>3.703294</v>
      </c>
      <c r="Q303" s="20" t="n">
        <v>3.68853</v>
      </c>
      <c r="R303" s="20" t="n">
        <v>3.687898</v>
      </c>
      <c r="S303" s="20" t="n">
        <v>3.671158</v>
      </c>
      <c r="T303" s="23">
        <f>IFERROR(AVERAGE(D303:S303),"")</f>
        <v/>
      </c>
    </row>
    <row r="304">
      <c r="A304" s="22" t="n">
        <v>45516</v>
      </c>
      <c r="B304" s="22" t="n">
        <v>45520</v>
      </c>
      <c r="C304">
        <f>TEXT(A304,"yyyy-mm")</f>
        <v/>
      </c>
      <c r="D304" s="20" t="n">
        <v>3.561642</v>
      </c>
      <c r="E304" s="20" t="n">
        <v>3.577256</v>
      </c>
      <c r="F304" s="20" t="n">
        <v>3.541256</v>
      </c>
      <c r="G304" s="20" t="n">
        <v>3.580944</v>
      </c>
      <c r="H304" s="20" t="n">
        <v>3.580128</v>
      </c>
      <c r="I304" s="20" t="n">
        <v>3.601456</v>
      </c>
      <c r="J304" s="20" t="n">
        <v>3.585928</v>
      </c>
      <c r="K304" s="20" t="n">
        <v>3.70504</v>
      </c>
      <c r="L304" s="20" t="n">
        <v>3.771364</v>
      </c>
      <c r="M304" s="20" t="n">
        <v>3.79338</v>
      </c>
      <c r="N304" s="20" t="n">
        <v>3.616646</v>
      </c>
      <c r="O304" s="20" t="n">
        <v>3.635054</v>
      </c>
      <c r="P304" s="20" t="n">
        <v>3.68008</v>
      </c>
      <c r="Q304" s="20" t="n">
        <v>3.665674</v>
      </c>
      <c r="R304" s="20" t="n">
        <v>3.66456</v>
      </c>
      <c r="S304" s="20" t="n">
        <v>3.648808</v>
      </c>
      <c r="T304" s="23">
        <f>IFERROR(AVERAGE(D304:S304),"")</f>
        <v/>
      </c>
    </row>
    <row r="305">
      <c r="A305" s="22" t="n">
        <v>45523</v>
      </c>
      <c r="B305" s="22" t="n">
        <v>45527</v>
      </c>
      <c r="C305">
        <f>TEXT(A305,"yyyy-mm")</f>
        <v/>
      </c>
      <c r="D305" s="20" t="n">
        <v>3.485892</v>
      </c>
      <c r="E305" s="20" t="n">
        <v>3.50788</v>
      </c>
      <c r="F305" s="20" t="n">
        <v>3.468958</v>
      </c>
      <c r="G305" s="20" t="n">
        <v>3.51255</v>
      </c>
      <c r="H305" s="20" t="n">
        <v>3.513886</v>
      </c>
      <c r="I305" s="20" t="n">
        <v>3.536354</v>
      </c>
      <c r="J305" s="20" t="n">
        <v>3.522716</v>
      </c>
      <c r="K305" s="20" t="n">
        <v>3.632882</v>
      </c>
      <c r="L305" s="20" t="n">
        <v>3.705286</v>
      </c>
      <c r="M305" s="20" t="n">
        <v>3.727324</v>
      </c>
      <c r="N305" s="20" t="n">
        <v>3.550434</v>
      </c>
      <c r="O305" s="20" t="n">
        <v>3.568854</v>
      </c>
      <c r="P305" s="20" t="n">
        <v>3.613926</v>
      </c>
      <c r="Q305" s="20" t="n">
        <v>3.599504</v>
      </c>
      <c r="R305" s="20" t="n">
        <v>3.599514</v>
      </c>
      <c r="S305" s="20" t="n">
        <v>3.585652</v>
      </c>
      <c r="T305" s="23">
        <f>IFERROR(AVERAGE(D305:S305),"")</f>
        <v/>
      </c>
    </row>
    <row r="306">
      <c r="A306" s="22" t="n">
        <v>45530</v>
      </c>
      <c r="B306" s="22" t="n">
        <v>45534</v>
      </c>
      <c r="C306">
        <f>TEXT(A306,"yyyy-mm")</f>
        <v/>
      </c>
      <c r="D306" s="20" t="n">
        <v>3.538482</v>
      </c>
      <c r="E306" s="20" t="n">
        <v>3.553674</v>
      </c>
      <c r="F306" s="20" t="n">
        <v>3.517386</v>
      </c>
      <c r="G306" s="20" t="n">
        <v>3.557838</v>
      </c>
      <c r="H306" s="20" t="n">
        <v>3.557978</v>
      </c>
      <c r="I306" s="20" t="n">
        <v>3.579328</v>
      </c>
      <c r="J306" s="20" t="n">
        <v>3.565658</v>
      </c>
      <c r="K306" s="20" t="n">
        <v>3.683544</v>
      </c>
      <c r="L306" s="20" t="n">
        <v>3.751986</v>
      </c>
      <c r="M306" s="20" t="n">
        <v>3.774322</v>
      </c>
      <c r="N306" s="20" t="n">
        <v>3.595024</v>
      </c>
      <c r="O306" s="20" t="n">
        <v>3.6137</v>
      </c>
      <c r="P306" s="20" t="n">
        <v>3.65938</v>
      </c>
      <c r="Q306" s="20" t="n">
        <v>3.644764</v>
      </c>
      <c r="R306" s="20" t="n">
        <v>3.643348</v>
      </c>
      <c r="S306" s="20" t="n">
        <v>3.629452</v>
      </c>
      <c r="T306" s="23">
        <f>IFERROR(AVERAGE(D306:S306),"")</f>
        <v/>
      </c>
    </row>
    <row r="307">
      <c r="A307" s="22" t="n">
        <v>45537</v>
      </c>
      <c r="B307" s="22" t="n">
        <v>45541</v>
      </c>
      <c r="C307">
        <f>TEXT(A307,"yyyy-mm")</f>
        <v/>
      </c>
      <c r="D307" s="20" t="n">
        <v>3.41961</v>
      </c>
      <c r="E307" s="20" t="n">
        <v>3.434868</v>
      </c>
      <c r="F307" s="20" t="n">
        <v>3.398275</v>
      </c>
      <c r="G307" s="20" t="n">
        <v>3.43924</v>
      </c>
      <c r="H307" s="20" t="n">
        <v>3.439815</v>
      </c>
      <c r="I307" s="20" t="n">
        <v>3.461263</v>
      </c>
      <c r="J307" s="20" t="n">
        <v>3.448278</v>
      </c>
      <c r="K307" s="20" t="n">
        <v>3.565963</v>
      </c>
      <c r="L307" s="20" t="n">
        <v>3.63561</v>
      </c>
      <c r="M307" s="20" t="n">
        <v>3.658153</v>
      </c>
      <c r="N307" s="20" t="n">
        <v>3.477208</v>
      </c>
      <c r="O307" s="20" t="n">
        <v>3.496053</v>
      </c>
      <c r="P307" s="20" t="n">
        <v>3.542155</v>
      </c>
      <c r="Q307" s="20" t="n">
        <v>3.527403</v>
      </c>
      <c r="R307" s="20" t="n">
        <v>3.525868</v>
      </c>
      <c r="S307" s="20" t="n">
        <v>3.51266</v>
      </c>
      <c r="T307" s="23">
        <f>IFERROR(AVERAGE(D307:S307),"")</f>
        <v/>
      </c>
    </row>
    <row r="308">
      <c r="A308" s="22" t="n">
        <v>45544</v>
      </c>
      <c r="B308" s="22" t="n">
        <v>45548</v>
      </c>
      <c r="C308">
        <f>TEXT(A308,"yyyy-mm")</f>
        <v/>
      </c>
      <c r="D308" s="20" t="n">
        <v>3.269442</v>
      </c>
      <c r="E308" s="20" t="n">
        <v>3.28109</v>
      </c>
      <c r="F308" s="20" t="n">
        <v>3.24608</v>
      </c>
      <c r="G308" s="20" t="n">
        <v>3.28507</v>
      </c>
      <c r="H308" s="20" t="n">
        <v>3.284752</v>
      </c>
      <c r="I308" s="20" t="n">
        <v>3.305548</v>
      </c>
      <c r="J308" s="20" t="n">
        <v>3.29214</v>
      </c>
      <c r="K308" s="20" t="n">
        <v>3.413956</v>
      </c>
      <c r="L308" s="20" t="n">
        <v>3.480764</v>
      </c>
      <c r="M308" s="20" t="n">
        <v>3.503332</v>
      </c>
      <c r="N308" s="20" t="n">
        <v>3.322182</v>
      </c>
      <c r="O308" s="20" t="n">
        <v>3.34105</v>
      </c>
      <c r="P308" s="20" t="n">
        <v>3.387204</v>
      </c>
      <c r="Q308" s="20" t="n">
        <v>3.372436</v>
      </c>
      <c r="R308" s="20" t="n">
        <v>3.370228</v>
      </c>
      <c r="S308" s="20" t="n">
        <v>3.356592</v>
      </c>
      <c r="T308" s="23">
        <f>IFERROR(AVERAGE(D308:S308),"")</f>
        <v/>
      </c>
    </row>
    <row r="309">
      <c r="A309" s="22" t="n">
        <v>45551</v>
      </c>
      <c r="B309" s="22" t="n">
        <v>45555</v>
      </c>
      <c r="C309">
        <f>TEXT(A309,"yyyy-mm")</f>
        <v/>
      </c>
      <c r="D309" s="20" t="n">
        <v>3.218366</v>
      </c>
      <c r="E309" s="20" t="n">
        <v>3.229722</v>
      </c>
      <c r="F309" s="20" t="n">
        <v>3.195456</v>
      </c>
      <c r="G309" s="20" t="n">
        <v>3.233644</v>
      </c>
      <c r="H309" s="20" t="n">
        <v>3.233168</v>
      </c>
      <c r="I309" s="20" t="n">
        <v>3.253624</v>
      </c>
      <c r="J309" s="20" t="n">
        <v>3.2406</v>
      </c>
      <c r="K309" s="20" t="n">
        <v>3.35896</v>
      </c>
      <c r="L309" s="20" t="n">
        <v>3.424074</v>
      </c>
      <c r="M309" s="20" t="n">
        <v>3.446052</v>
      </c>
      <c r="N309" s="20" t="n">
        <v>3.26962</v>
      </c>
      <c r="O309" s="20" t="n">
        <v>3.287994</v>
      </c>
      <c r="P309" s="20" t="n">
        <v>3.332948</v>
      </c>
      <c r="Q309" s="20" t="n">
        <v>3.318564</v>
      </c>
      <c r="R309" s="20" t="n">
        <v>3.31662</v>
      </c>
      <c r="S309" s="20" t="n">
        <v>3.303374</v>
      </c>
      <c r="T309" s="23">
        <f>IFERROR(AVERAGE(D309:S309),"")</f>
        <v/>
      </c>
    </row>
    <row r="310">
      <c r="A310" s="22" t="n">
        <v>45558</v>
      </c>
      <c r="B310" s="22" t="n">
        <v>45562</v>
      </c>
      <c r="C310">
        <f>TEXT(A310,"yyyy-mm")</f>
        <v/>
      </c>
      <c r="D310" s="20" t="n">
        <v>3.238868</v>
      </c>
      <c r="E310" s="20" t="n">
        <v>3.244854</v>
      </c>
      <c r="F310" s="20" t="n">
        <v>3.212954</v>
      </c>
      <c r="G310" s="20" t="n">
        <v>3.248268</v>
      </c>
      <c r="H310" s="20" t="n">
        <v>3.246604</v>
      </c>
      <c r="I310" s="20" t="n">
        <v>3.266072</v>
      </c>
      <c r="J310" s="20" t="n">
        <v>3.252766</v>
      </c>
      <c r="K310" s="20" t="n">
        <v>3.37636</v>
      </c>
      <c r="L310" s="20" t="n">
        <v>3.437396</v>
      </c>
      <c r="M310" s="20" t="n">
        <v>3.459364</v>
      </c>
      <c r="N310" s="20" t="n">
        <v>3.283036</v>
      </c>
      <c r="O310" s="20" t="n">
        <v>3.301398</v>
      </c>
      <c r="P310" s="20" t="n">
        <v>3.346324</v>
      </c>
      <c r="Q310" s="20" t="n">
        <v>3.33195</v>
      </c>
      <c r="R310" s="20" t="n">
        <v>3.32903</v>
      </c>
      <c r="S310" s="20" t="n">
        <v>3.315502</v>
      </c>
      <c r="T310" s="23">
        <f>IFERROR(AVERAGE(D310:S310),"")</f>
        <v/>
      </c>
    </row>
    <row r="311">
      <c r="A311" s="22" t="n">
        <v>45565</v>
      </c>
      <c r="B311" s="22" t="n">
        <v>45569</v>
      </c>
      <c r="C311">
        <f>TEXT(A311,"yyyy-mm")</f>
        <v/>
      </c>
      <c r="D311" s="20" t="n">
        <v>3.317382</v>
      </c>
      <c r="E311" s="20" t="n">
        <v>3.338522</v>
      </c>
      <c r="F311" s="20" t="n">
        <v>3.300024</v>
      </c>
      <c r="G311" s="20" t="n">
        <v>3.343316</v>
      </c>
      <c r="H311" s="20" t="n">
        <v>3.344858</v>
      </c>
      <c r="I311" s="20" t="n">
        <v>3.367098</v>
      </c>
      <c r="J311" s="20" t="n">
        <v>3.354356</v>
      </c>
      <c r="K311" s="20" t="n">
        <v>3.463182</v>
      </c>
      <c r="L311" s="20" t="n">
        <v>3.535364</v>
      </c>
      <c r="M311" s="20" t="n">
        <v>3.557298</v>
      </c>
      <c r="N311" s="20" t="n">
        <v>3.381234</v>
      </c>
      <c r="O311" s="20" t="n">
        <v>3.39957</v>
      </c>
      <c r="P311" s="20" t="n">
        <v>3.44443</v>
      </c>
      <c r="Q311" s="20" t="n">
        <v>3.430076</v>
      </c>
      <c r="R311" s="20" t="n">
        <v>3.429964</v>
      </c>
      <c r="S311" s="20" t="n">
        <v>3.417</v>
      </c>
      <c r="T311" s="23">
        <f>IFERROR(AVERAGE(D311:S311),"")</f>
        <v/>
      </c>
    </row>
    <row r="312">
      <c r="A312" s="22" t="n">
        <v>45572</v>
      </c>
      <c r="B312" s="22" t="n">
        <v>45576</v>
      </c>
      <c r="C312">
        <f>TEXT(A312,"yyyy-mm")</f>
        <v/>
      </c>
      <c r="D312" s="20" t="n">
        <v>3.604578</v>
      </c>
      <c r="E312" s="20" t="n">
        <v>3.639342</v>
      </c>
      <c r="F312" s="20" t="n">
        <v>3.594498</v>
      </c>
      <c r="G312" s="20" t="n">
        <v>3.645166</v>
      </c>
      <c r="H312" s="20" t="n">
        <v>3.649204</v>
      </c>
      <c r="I312" s="20" t="n">
        <v>3.67418</v>
      </c>
      <c r="J312" s="20" t="n">
        <v>3.660666</v>
      </c>
      <c r="K312" s="20" t="n">
        <v>3.760758</v>
      </c>
      <c r="L312" s="20" t="n">
        <v>3.843328</v>
      </c>
      <c r="M312" s="20" t="n">
        <v>3.865678</v>
      </c>
      <c r="N312" s="20" t="n">
        <v>3.686272</v>
      </c>
      <c r="O312" s="20" t="n">
        <v>3.70496</v>
      </c>
      <c r="P312" s="20" t="n">
        <v>3.750666</v>
      </c>
      <c r="Q312" s="20" t="n">
        <v>3.736042</v>
      </c>
      <c r="R312" s="20" t="n">
        <v>3.738236</v>
      </c>
      <c r="S312" s="20" t="n">
        <v>3.724496</v>
      </c>
      <c r="T312" s="23">
        <f>IFERROR(AVERAGE(D312:S312),"")</f>
        <v/>
      </c>
    </row>
    <row r="313">
      <c r="A313" s="22" t="n">
        <v>45579</v>
      </c>
      <c r="B313" s="22" t="n">
        <v>45583</v>
      </c>
      <c r="C313">
        <f>TEXT(A313,"yyyy-mm")</f>
        <v/>
      </c>
      <c r="D313" s="20" t="n">
        <v>3.443322</v>
      </c>
      <c r="E313" s="20" t="n">
        <v>3.454236</v>
      </c>
      <c r="F313" s="20" t="n">
        <v>3.419288</v>
      </c>
      <c r="G313" s="20" t="n">
        <v>3.45854</v>
      </c>
      <c r="H313" s="20" t="n">
        <v>3.45886</v>
      </c>
      <c r="I313" s="20" t="n">
        <v>3.479546</v>
      </c>
      <c r="J313" s="20" t="n">
        <v>3.467638</v>
      </c>
      <c r="K313" s="20" t="n">
        <v>3.588184</v>
      </c>
      <c r="L313" s="20" t="n">
        <v>3.656066</v>
      </c>
      <c r="M313" s="20" t="n">
        <v>3.678772</v>
      </c>
      <c r="N313" s="20" t="n">
        <v>3.496516</v>
      </c>
      <c r="O313" s="20" t="n">
        <v>3.5155</v>
      </c>
      <c r="P313" s="20" t="n">
        <v>3.561936</v>
      </c>
      <c r="Q313" s="20" t="n">
        <v>3.547076</v>
      </c>
      <c r="R313" s="20" t="n">
        <v>3.544622</v>
      </c>
      <c r="S313" s="20" t="n">
        <v>3.532482</v>
      </c>
      <c r="T313" s="23">
        <f>IFERROR(AVERAGE(D313:S313),"")</f>
        <v/>
      </c>
    </row>
    <row r="314">
      <c r="A314" s="22" t="n">
        <v>45586</v>
      </c>
      <c r="B314" s="22" t="n">
        <v>45590</v>
      </c>
      <c r="C314">
        <f>TEXT(A314,"yyyy-mm")</f>
        <v/>
      </c>
      <c r="D314" s="20" t="n">
        <v>3.417746</v>
      </c>
      <c r="E314" s="20" t="n">
        <v>3.425504</v>
      </c>
      <c r="F314" s="20" t="n">
        <v>3.391774</v>
      </c>
      <c r="G314" s="20" t="n">
        <v>3.429392</v>
      </c>
      <c r="H314" s="20" t="n">
        <v>3.4288</v>
      </c>
      <c r="I314" s="20" t="n">
        <v>3.449018</v>
      </c>
      <c r="J314" s="20" t="n">
        <v>3.436278</v>
      </c>
      <c r="K314" s="20" t="n">
        <v>3.562206</v>
      </c>
      <c r="L314" s="20" t="n">
        <v>3.627796</v>
      </c>
      <c r="M314" s="20" t="n">
        <v>3.650708</v>
      </c>
      <c r="N314" s="20" t="n">
        <v>3.466798</v>
      </c>
      <c r="O314" s="20" t="n">
        <v>3.485954</v>
      </c>
      <c r="P314" s="20" t="n">
        <v>3.532812</v>
      </c>
      <c r="Q314" s="20" t="n">
        <v>3.517818</v>
      </c>
      <c r="R314" s="20" t="n">
        <v>3.514684</v>
      </c>
      <c r="S314" s="20" t="n">
        <v>3.501712</v>
      </c>
      <c r="T314" s="23">
        <f>IFERROR(AVERAGE(D314:S314),"")</f>
        <v/>
      </c>
    </row>
    <row r="315">
      <c r="A315" s="22" t="n">
        <v>45593</v>
      </c>
      <c r="B315" s="22" t="n">
        <v>45597</v>
      </c>
      <c r="C315">
        <f>TEXT(A315,"yyyy-mm")</f>
        <v/>
      </c>
      <c r="D315" s="20" t="n">
        <v>3.45932</v>
      </c>
      <c r="E315" s="20" t="n">
        <v>3.476256</v>
      </c>
      <c r="F315" s="20" t="n">
        <v>3.438244</v>
      </c>
      <c r="G315" s="20" t="n">
        <v>3.480886</v>
      </c>
      <c r="H315" s="20" t="n">
        <v>3.482072</v>
      </c>
      <c r="I315" s="20" t="n">
        <v>3.504124</v>
      </c>
      <c r="J315" s="20" t="n">
        <v>3.491072</v>
      </c>
      <c r="K315" s="20" t="n">
        <v>3.610718</v>
      </c>
      <c r="L315" s="20" t="n">
        <v>3.683456</v>
      </c>
      <c r="M315" s="20" t="n">
        <v>3.706638</v>
      </c>
      <c r="N315" s="20" t="n">
        <v>3.520528</v>
      </c>
      <c r="O315" s="20" t="n">
        <v>3.539912</v>
      </c>
      <c r="P315" s="20" t="n">
        <v>3.587332</v>
      </c>
      <c r="Q315" s="20" t="n">
        <v>3.572156</v>
      </c>
      <c r="R315" s="20" t="n">
        <v>3.570576</v>
      </c>
      <c r="S315" s="20" t="n">
        <v>3.557288</v>
      </c>
      <c r="T315" s="23">
        <f>IFERROR(AVERAGE(D315:S315),"")</f>
        <v/>
      </c>
    </row>
    <row r="316">
      <c r="A316" s="22" t="n">
        <v>45600</v>
      </c>
      <c r="B316" s="22" t="n">
        <v>45604</v>
      </c>
      <c r="C316">
        <f>TEXT(A316,"yyyy-mm")</f>
        <v/>
      </c>
      <c r="D316" s="20" t="n">
        <v>3.559604</v>
      </c>
      <c r="E316" s="20" t="n">
        <v>3.581946</v>
      </c>
      <c r="F316" s="20" t="n">
        <v>3.541898</v>
      </c>
      <c r="G316" s="20" t="n">
        <v>3.586544</v>
      </c>
      <c r="H316" s="20" t="n">
        <v>3.58781</v>
      </c>
      <c r="I316" s="20" t="n">
        <v>3.610824</v>
      </c>
      <c r="J316" s="20" t="n">
        <v>3.59591</v>
      </c>
      <c r="K316" s="20" t="n">
        <v>3.71307</v>
      </c>
      <c r="L316" s="20" t="n">
        <v>3.78767</v>
      </c>
      <c r="M316" s="20" t="n">
        <v>3.810682</v>
      </c>
      <c r="N316" s="20" t="n">
        <v>3.625976</v>
      </c>
      <c r="O316" s="20" t="n">
        <v>3.645212</v>
      </c>
      <c r="P316" s="20" t="n">
        <v>3.692274</v>
      </c>
      <c r="Q316" s="20" t="n">
        <v>3.677216</v>
      </c>
      <c r="R316" s="20" t="n">
        <v>3.676776</v>
      </c>
      <c r="S316" s="20" t="n">
        <v>3.661626</v>
      </c>
      <c r="T316" s="23">
        <f>IFERROR(AVERAGE(D316:S316),"")</f>
        <v/>
      </c>
    </row>
    <row r="317">
      <c r="A317" s="22" t="n">
        <v>45607</v>
      </c>
      <c r="B317" s="22" t="n">
        <v>45611</v>
      </c>
      <c r="C317">
        <f>TEXT(A317,"yyyy-mm")</f>
        <v/>
      </c>
      <c r="D317" s="20" t="n">
        <v>3.485504</v>
      </c>
      <c r="E317" s="20" t="n">
        <v>3.497392</v>
      </c>
      <c r="F317" s="20" t="n">
        <v>3.461634</v>
      </c>
      <c r="G317" s="20" t="n">
        <v>3.501282</v>
      </c>
      <c r="H317" s="20" t="n">
        <v>3.500846</v>
      </c>
      <c r="I317" s="20" t="n">
        <v>3.522014</v>
      </c>
      <c r="J317" s="20" t="n">
        <v>3.507582</v>
      </c>
      <c r="K317" s="20" t="n">
        <v>3.6344</v>
      </c>
      <c r="L317" s="20" t="n">
        <v>3.70257</v>
      </c>
      <c r="M317" s="20" t="n">
        <v>3.725794</v>
      </c>
      <c r="N317" s="20" t="n">
        <v>3.539366</v>
      </c>
      <c r="O317" s="20" t="n">
        <v>3.558784</v>
      </c>
      <c r="P317" s="20" t="n">
        <v>3.606284</v>
      </c>
      <c r="Q317" s="20" t="n">
        <v>3.591084</v>
      </c>
      <c r="R317" s="20" t="n">
        <v>3.588578</v>
      </c>
      <c r="S317" s="20" t="n">
        <v>3.573914</v>
      </c>
      <c r="T317" s="23">
        <f>IFERROR(AVERAGE(D317:S317),"")</f>
        <v/>
      </c>
    </row>
    <row r="318">
      <c r="A318" s="22" t="n">
        <v>45614</v>
      </c>
      <c r="B318" s="22" t="n">
        <v>45618</v>
      </c>
      <c r="C318">
        <f>TEXT(A318,"yyyy-mm")</f>
        <v/>
      </c>
      <c r="D318" s="20" t="n">
        <v>3.563936</v>
      </c>
      <c r="E318" s="20" t="n">
        <v>3.582808</v>
      </c>
      <c r="F318" s="20" t="n">
        <v>3.54402</v>
      </c>
      <c r="G318" s="20" t="n">
        <v>3.58719</v>
      </c>
      <c r="H318" s="20" t="n">
        <v>3.587942</v>
      </c>
      <c r="I318" s="20" t="n">
        <v>3.610416</v>
      </c>
      <c r="J318" s="20" t="n">
        <v>3.595608</v>
      </c>
      <c r="K318" s="20" t="n">
        <v>3.71685</v>
      </c>
      <c r="L318" s="20" t="n">
        <v>3.78974</v>
      </c>
      <c r="M318" s="20" t="n">
        <v>3.81297</v>
      </c>
      <c r="N318" s="20" t="n">
        <v>3.626474</v>
      </c>
      <c r="O318" s="20" t="n">
        <v>3.645898</v>
      </c>
      <c r="P318" s="20" t="n">
        <v>3.693418</v>
      </c>
      <c r="Q318" s="20" t="n">
        <v>3.678212</v>
      </c>
      <c r="R318" s="20" t="n">
        <v>3.677004</v>
      </c>
      <c r="S318" s="20" t="n">
        <v>3.661962</v>
      </c>
      <c r="T318" s="23">
        <f>IFERROR(AVERAGE(D318:S318),"")</f>
        <v/>
      </c>
    </row>
    <row r="319">
      <c r="A319" s="22" t="n">
        <v>45621</v>
      </c>
      <c r="B319" s="22" t="n">
        <v>45625</v>
      </c>
      <c r="C319">
        <f>TEXT(A319,"yyyy-mm")</f>
        <v/>
      </c>
      <c r="D319" s="20" t="n">
        <v>3.64709</v>
      </c>
      <c r="E319" s="20" t="n">
        <v>3.66462</v>
      </c>
      <c r="F319" s="20" t="n">
        <v>3.626263</v>
      </c>
      <c r="G319" s="20" t="n">
        <v>3.668527</v>
      </c>
      <c r="H319" s="20" t="n">
        <v>3.668317</v>
      </c>
      <c r="I319" s="20" t="n">
        <v>3.690697</v>
      </c>
      <c r="J319" s="20" t="n">
        <v>3.67416</v>
      </c>
      <c r="K319" s="20" t="n">
        <v>3.80092</v>
      </c>
      <c r="L319" s="20" t="n">
        <v>3.87224</v>
      </c>
      <c r="M319" s="20" t="n">
        <v>3.89572</v>
      </c>
      <c r="N319" s="20" t="n">
        <v>3.707257</v>
      </c>
      <c r="O319" s="20" t="n">
        <v>3.726887</v>
      </c>
      <c r="P319" s="20" t="n">
        <v>3.774903</v>
      </c>
      <c r="Q319" s="20" t="n">
        <v>3.759537</v>
      </c>
      <c r="R319" s="20" t="n">
        <v>3.757987</v>
      </c>
      <c r="S319" s="20" t="n">
        <v>3.741213</v>
      </c>
      <c r="T319" s="23">
        <f>IFERROR(AVERAGE(D319:S319),"")</f>
        <v/>
      </c>
    </row>
    <row r="320">
      <c r="A320" s="22" t="n">
        <v>45628</v>
      </c>
      <c r="B320" s="22" t="n">
        <v>45632</v>
      </c>
      <c r="C320">
        <f>TEXT(A320,"yyyy-mm")</f>
        <v/>
      </c>
      <c r="D320" s="20" t="n">
        <v>3.649842</v>
      </c>
      <c r="E320" s="20" t="n">
        <v>3.66939</v>
      </c>
      <c r="F320" s="20" t="n">
        <v>3.629202</v>
      </c>
      <c r="G320" s="20" t="n">
        <v>3.673864</v>
      </c>
      <c r="H320" s="20" t="n">
        <v>3.674906</v>
      </c>
      <c r="I320" s="20" t="n">
        <v>3.698014</v>
      </c>
      <c r="J320" s="20" t="n">
        <v>3.682446</v>
      </c>
      <c r="K320" s="20" t="n">
        <v>3.80998</v>
      </c>
      <c r="L320" s="20" t="n">
        <v>3.885984</v>
      </c>
      <c r="M320" s="20" t="n">
        <v>3.910284</v>
      </c>
      <c r="N320" s="20" t="n">
        <v>3.71521</v>
      </c>
      <c r="O320" s="20" t="n">
        <v>3.735528</v>
      </c>
      <c r="P320" s="20" t="n">
        <v>3.785232</v>
      </c>
      <c r="Q320" s="20" t="n">
        <v>3.769328</v>
      </c>
      <c r="R320" s="20" t="n">
        <v>3.767666</v>
      </c>
      <c r="S320" s="20" t="n">
        <v>3.751848</v>
      </c>
      <c r="T320" s="23">
        <f>IFERROR(AVERAGE(D320:S320),"")</f>
        <v/>
      </c>
    </row>
    <row r="321">
      <c r="A321" s="22" t="n">
        <v>45635</v>
      </c>
      <c r="B321" s="22" t="n">
        <v>45639</v>
      </c>
      <c r="C321">
        <f>TEXT(A321,"yyyy-mm")</f>
        <v/>
      </c>
      <c r="D321" s="20" t="n">
        <v>3.69458</v>
      </c>
      <c r="E321" s="20" t="n">
        <v>3.728238</v>
      </c>
      <c r="F321" s="20" t="n">
        <v>3.681824</v>
      </c>
      <c r="G321" s="20" t="n">
        <v>3.734216</v>
      </c>
      <c r="H321" s="20" t="n">
        <v>3.738682</v>
      </c>
      <c r="I321" s="20" t="n">
        <v>3.764352</v>
      </c>
      <c r="J321" s="20" t="n">
        <v>3.750216</v>
      </c>
      <c r="K321" s="20" t="n">
        <v>3.862524</v>
      </c>
      <c r="L321" s="20" t="n">
        <v>3.949666</v>
      </c>
      <c r="M321" s="20" t="n">
        <v>3.973956</v>
      </c>
      <c r="N321" s="20" t="n">
        <v>3.77897</v>
      </c>
      <c r="O321" s="20" t="n">
        <v>3.799276</v>
      </c>
      <c r="P321" s="20" t="n">
        <v>3.848958</v>
      </c>
      <c r="Q321" s="20" t="n">
        <v>3.83306</v>
      </c>
      <c r="R321" s="20" t="n">
        <v>3.833974</v>
      </c>
      <c r="S321" s="20" t="n">
        <v>3.819592</v>
      </c>
      <c r="T321" s="23">
        <f>IFERROR(AVERAGE(D321:S321),"")</f>
        <v/>
      </c>
    </row>
    <row r="322">
      <c r="A322" s="22" t="n">
        <v>45642</v>
      </c>
      <c r="B322" s="22" t="n">
        <v>45646</v>
      </c>
      <c r="C322">
        <f>TEXT(A322,"yyyy-mm")</f>
        <v/>
      </c>
      <c r="D322" s="20" t="n">
        <v>3.857772</v>
      </c>
      <c r="E322" s="20" t="n">
        <v>3.895332</v>
      </c>
      <c r="F322" s="20" t="n">
        <v>3.846938</v>
      </c>
      <c r="G322" s="20" t="n">
        <v>3.901604</v>
      </c>
      <c r="H322" s="20" t="n">
        <v>3.906788</v>
      </c>
      <c r="I322" s="20" t="n">
        <v>3.933322</v>
      </c>
      <c r="J322" s="20" t="n">
        <v>3.918812</v>
      </c>
      <c r="K322" s="20" t="n">
        <v>4.029748</v>
      </c>
      <c r="L322" s="20" t="n">
        <v>4.120238000000001</v>
      </c>
      <c r="M322" s="20" t="n">
        <v>4.144814</v>
      </c>
      <c r="N322" s="20" t="n">
        <v>3.947546</v>
      </c>
      <c r="O322" s="20" t="n">
        <v>3.968092</v>
      </c>
      <c r="P322" s="20" t="n">
        <v>4.018352</v>
      </c>
      <c r="Q322" s="20" t="n">
        <v>4.002272</v>
      </c>
      <c r="R322" s="20" t="n">
        <v>4.003756</v>
      </c>
      <c r="S322" s="20" t="n">
        <v>3.988998</v>
      </c>
      <c r="T322" s="23">
        <f>IFERROR(AVERAGE(D322:S322),"")</f>
        <v/>
      </c>
    </row>
    <row r="323">
      <c r="A323" s="22" t="n">
        <v>45649</v>
      </c>
      <c r="B323" s="22" t="n">
        <v>45653</v>
      </c>
      <c r="C323">
        <f>TEXT(A323,"yyyy-mm")</f>
        <v/>
      </c>
      <c r="D323" s="20" t="n">
        <v>3.837915</v>
      </c>
      <c r="E323" s="20" t="n">
        <v>3.865263</v>
      </c>
      <c r="F323" s="20" t="n">
        <v>3.821018</v>
      </c>
      <c r="G323" s="20" t="n">
        <v>3.870688</v>
      </c>
      <c r="H323" s="20" t="n">
        <v>3.873908</v>
      </c>
      <c r="I323" s="20" t="n">
        <v>3.898693</v>
      </c>
      <c r="J323" s="20" t="n">
        <v>3.883938</v>
      </c>
      <c r="K323" s="20" t="n">
        <v>4.00594</v>
      </c>
      <c r="L323" s="20" t="n">
        <v>4.089828</v>
      </c>
      <c r="M323" s="20" t="n">
        <v>4.114688</v>
      </c>
      <c r="N323" s="20" t="n">
        <v>3.91514</v>
      </c>
      <c r="O323" s="20" t="n">
        <v>3.935923</v>
      </c>
      <c r="P323" s="20" t="n">
        <v>3.986763</v>
      </c>
      <c r="Q323" s="20" t="n">
        <v>3.970493</v>
      </c>
      <c r="R323" s="20" t="n">
        <v>3.969943</v>
      </c>
      <c r="S323" s="20" t="n">
        <v>3.954935</v>
      </c>
      <c r="T323" s="23">
        <f>IFERROR(AVERAGE(D323:S323),"")</f>
        <v/>
      </c>
    </row>
    <row r="324">
      <c r="A324" s="22" t="n">
        <v>45656</v>
      </c>
      <c r="B324" s="22" t="n">
        <v>45660</v>
      </c>
      <c r="C324">
        <f>TEXT(A324,"yyyy-mm")</f>
        <v/>
      </c>
      <c r="D324" s="20" t="n">
        <v>3.911648</v>
      </c>
      <c r="E324" s="20" t="n">
        <v>3.927103</v>
      </c>
      <c r="F324" s="20" t="n">
        <v>3.888108</v>
      </c>
      <c r="G324" s="20" t="n">
        <v>3.93147</v>
      </c>
      <c r="H324" s="20" t="n">
        <v>3.932215</v>
      </c>
      <c r="I324" s="20" t="n">
        <v>3.954788</v>
      </c>
      <c r="J324" s="20" t="n">
        <v>3.939758</v>
      </c>
      <c r="K324" s="20" t="n">
        <v>4.072683</v>
      </c>
      <c r="L324" s="20" t="n">
        <v>4.147728</v>
      </c>
      <c r="M324" s="20" t="n">
        <v>4.17254</v>
      </c>
      <c r="N324" s="20" t="n">
        <v>3.97337</v>
      </c>
      <c r="O324" s="20" t="n">
        <v>3.994113</v>
      </c>
      <c r="P324" s="20" t="n">
        <v>4.044858000000001</v>
      </c>
      <c r="Q324" s="20" t="n">
        <v>4.02862</v>
      </c>
      <c r="R324" s="20" t="n">
        <v>4.025905</v>
      </c>
      <c r="S324" s="20" t="n">
        <v>4.01062</v>
      </c>
      <c r="T324" s="23">
        <f>IFERROR(AVERAGE(D324:S324),"")</f>
        <v/>
      </c>
    </row>
    <row r="325">
      <c r="A325" s="22" t="n">
        <v>45663</v>
      </c>
      <c r="B325" s="22" t="n">
        <v>45667</v>
      </c>
      <c r="C325">
        <f>TEXT(A325,"yyyy-mm")</f>
        <v/>
      </c>
      <c r="D325" s="20" t="n">
        <v>3.903646</v>
      </c>
      <c r="E325" s="20" t="n">
        <v>3.905036</v>
      </c>
      <c r="F325" s="20" t="n">
        <v>3.872416</v>
      </c>
      <c r="G325" s="20" t="n">
        <v>3.908512</v>
      </c>
      <c r="H325" s="20" t="n">
        <v>3.907032</v>
      </c>
      <c r="I325" s="20" t="n">
        <v>3.926822</v>
      </c>
      <c r="J325" s="20" t="n">
        <v>3.9132</v>
      </c>
      <c r="K325" s="20" t="n">
        <v>4.054584</v>
      </c>
      <c r="L325" s="20" t="n">
        <v>4.119734</v>
      </c>
      <c r="M325" s="20" t="n">
        <v>4.144220000000001</v>
      </c>
      <c r="N325" s="20" t="n">
        <v>3.947648</v>
      </c>
      <c r="O325" s="20" t="n">
        <v>3.96812</v>
      </c>
      <c r="P325" s="20" t="n">
        <v>4.018204</v>
      </c>
      <c r="Q325" s="20" t="n">
        <v>4.00218</v>
      </c>
      <c r="R325" s="20" t="n">
        <v>3.99701</v>
      </c>
      <c r="S325" s="20" t="n">
        <v>3.983142</v>
      </c>
      <c r="T325" s="23">
        <f>IFERROR(AVERAGE(D325:S325),"")</f>
        <v/>
      </c>
    </row>
    <row r="326">
      <c r="A326" s="22" t="n">
        <v>45670</v>
      </c>
      <c r="B326" s="22" t="n">
        <v>45674</v>
      </c>
      <c r="C326">
        <f>TEXT(A326,"yyyy-mm")</f>
        <v/>
      </c>
      <c r="D326" s="20" t="n">
        <v>4.153884</v>
      </c>
      <c r="E326" s="20" t="n">
        <v>4.164714</v>
      </c>
      <c r="F326" s="20" t="n">
        <v>4.128136</v>
      </c>
      <c r="G326" s="20" t="n">
        <v>4.169014</v>
      </c>
      <c r="H326" s="20" t="n">
        <v>4.169454</v>
      </c>
      <c r="I326" s="20" t="n">
        <v>4.190906</v>
      </c>
      <c r="J326" s="20" t="n">
        <v>4.177613999999999</v>
      </c>
      <c r="K326" s="20" t="n">
        <v>4.309138</v>
      </c>
      <c r="L326" s="20" t="n">
        <v>4.380792</v>
      </c>
      <c r="M326" s="20" t="n">
        <v>4.405122</v>
      </c>
      <c r="N326" s="20" t="n">
        <v>4.20981</v>
      </c>
      <c r="O326" s="20" t="n">
        <v>4.230152</v>
      </c>
      <c r="P326" s="20" t="n">
        <v>4.279914</v>
      </c>
      <c r="Q326" s="20" t="n">
        <v>4.263992</v>
      </c>
      <c r="R326" s="20" t="n">
        <v>4.260644</v>
      </c>
      <c r="S326" s="20" t="n">
        <v>4.247108</v>
      </c>
      <c r="T326" s="23">
        <f>IFERROR(AVERAGE(D326:S326),"")</f>
        <v/>
      </c>
    </row>
    <row r="327">
      <c r="A327" s="22" t="n">
        <v>45677</v>
      </c>
      <c r="B327" s="22" t="n">
        <v>45681</v>
      </c>
      <c r="C327">
        <f>TEXT(A327,"yyyy-mm")</f>
        <v/>
      </c>
      <c r="D327" s="20" t="n">
        <v>4.025073</v>
      </c>
      <c r="E327" s="20" t="n">
        <v>4.037653</v>
      </c>
      <c r="F327" s="20" t="n">
        <v>3.996575</v>
      </c>
      <c r="G327" s="20" t="n">
        <v>4.033828</v>
      </c>
      <c r="H327" s="20" t="n">
        <v>4.04406</v>
      </c>
      <c r="I327" s="20" t="n">
        <v>4.049255</v>
      </c>
      <c r="J327" s="20" t="n">
        <v>4.039465</v>
      </c>
      <c r="K327" s="20" t="n">
        <v>4.174787999999999</v>
      </c>
      <c r="L327" s="20" t="n">
        <v>4.25121</v>
      </c>
      <c r="M327" s="20" t="n">
        <v>4.275968</v>
      </c>
      <c r="N327" s="20" t="n">
        <v>4.083693</v>
      </c>
      <c r="O327" s="20" t="n">
        <v>4.103955</v>
      </c>
      <c r="P327" s="20" t="n">
        <v>4.15583</v>
      </c>
      <c r="Q327" s="20" t="n">
        <v>4.1377</v>
      </c>
      <c r="R327" s="20" t="n">
        <v>4.118318</v>
      </c>
      <c r="S327" s="20" t="n">
        <v>4.109345</v>
      </c>
      <c r="T327" s="23">
        <f>IFERROR(AVERAGE(D327:S327),"")</f>
        <v/>
      </c>
    </row>
    <row r="328">
      <c r="A328" s="22" t="n">
        <v>45684</v>
      </c>
      <c r="B328" s="22" t="n">
        <v>45688</v>
      </c>
      <c r="C328">
        <f>TEXT(A328,"yyyy-mm")</f>
        <v/>
      </c>
      <c r="D328" s="20" t="n">
        <v>3.802482</v>
      </c>
      <c r="E328" s="20" t="n">
        <v>3.815832</v>
      </c>
      <c r="F328" s="20" t="n">
        <v>3.7733</v>
      </c>
      <c r="G328" s="20" t="n">
        <v>3.80939</v>
      </c>
      <c r="H328" s="20" t="n">
        <v>3.823064</v>
      </c>
      <c r="I328" s="20" t="n">
        <v>3.822794</v>
      </c>
      <c r="J328" s="20" t="n">
        <v>3.814616</v>
      </c>
      <c r="K328" s="20" t="n">
        <v>3.949442</v>
      </c>
      <c r="L328" s="20" t="n">
        <v>4.027489999999999</v>
      </c>
      <c r="M328" s="20" t="n">
        <v>4.052224</v>
      </c>
      <c r="N328" s="20" t="n">
        <v>3.862198</v>
      </c>
      <c r="O328" s="20" t="n">
        <v>3.8823</v>
      </c>
      <c r="P328" s="20" t="n">
        <v>3.934536</v>
      </c>
      <c r="Q328" s="20" t="n">
        <v>3.9158</v>
      </c>
      <c r="R328" s="20" t="n">
        <v>3.891186</v>
      </c>
      <c r="S328" s="20" t="n">
        <v>3.884166</v>
      </c>
      <c r="T328" s="23">
        <f>IFERROR(AVERAGE(D328:S328),"")</f>
        <v/>
      </c>
    </row>
    <row r="329">
      <c r="A329" s="22" t="n">
        <v>45691</v>
      </c>
      <c r="B329" s="22" t="n">
        <v>45695</v>
      </c>
      <c r="C329">
        <f>TEXT(A329,"yyyy-mm")</f>
        <v/>
      </c>
      <c r="D329" s="20" t="n">
        <v>3.742656</v>
      </c>
      <c r="E329" s="20" t="n">
        <v>3.755206</v>
      </c>
      <c r="F329" s="20" t="n">
        <v>3.713386</v>
      </c>
      <c r="G329" s="20" t="n">
        <v>3.748712</v>
      </c>
      <c r="H329" s="20" t="n">
        <v>3.762228</v>
      </c>
      <c r="I329" s="20" t="n">
        <v>3.76164</v>
      </c>
      <c r="J329" s="20" t="n">
        <v>3.753818</v>
      </c>
      <c r="K329" s="20" t="n">
        <v>3.886892</v>
      </c>
      <c r="L329" s="20" t="n">
        <v>3.963598</v>
      </c>
      <c r="M329" s="20" t="n">
        <v>3.987966</v>
      </c>
      <c r="N329" s="20" t="n">
        <v>3.80078</v>
      </c>
      <c r="O329" s="20" t="n">
        <v>3.820582</v>
      </c>
      <c r="P329" s="20" t="n">
        <v>3.872028</v>
      </c>
      <c r="Q329" s="20" t="n">
        <v>3.853576</v>
      </c>
      <c r="R329" s="20" t="n">
        <v>3.829006</v>
      </c>
      <c r="S329" s="20" t="n">
        <v>3.822328</v>
      </c>
      <c r="T329" s="23">
        <f>IFERROR(AVERAGE(D329:S329),"")</f>
        <v/>
      </c>
    </row>
    <row r="330">
      <c r="A330" s="22" t="n">
        <v>45698</v>
      </c>
      <c r="B330" s="22" t="n">
        <v>45702</v>
      </c>
      <c r="C330">
        <f>TEXT(A330,"yyyy-mm")</f>
        <v/>
      </c>
      <c r="D330" s="20" t="n">
        <v>3.76097</v>
      </c>
      <c r="E330" s="20" t="n">
        <v>3.767668</v>
      </c>
      <c r="F330" s="20" t="n">
        <v>3.728074</v>
      </c>
      <c r="G330" s="20" t="n">
        <v>3.760848</v>
      </c>
      <c r="H330" s="20" t="n">
        <v>3.773558</v>
      </c>
      <c r="I330" s="20" t="n">
        <v>3.772002</v>
      </c>
      <c r="J330" s="20" t="n">
        <v>3.764612</v>
      </c>
      <c r="K330" s="20" t="n">
        <v>3.900736</v>
      </c>
      <c r="L330" s="20" t="n">
        <v>3.973948</v>
      </c>
      <c r="M330" s="20" t="n">
        <v>3.998198</v>
      </c>
      <c r="N330" s="20" t="n">
        <v>3.811922</v>
      </c>
      <c r="O330" s="20" t="n">
        <v>3.83163</v>
      </c>
      <c r="P330" s="20" t="n">
        <v>3.88283</v>
      </c>
      <c r="Q330" s="20" t="n">
        <v>3.864466</v>
      </c>
      <c r="R330" s="20" t="n">
        <v>3.839044</v>
      </c>
      <c r="S330" s="20" t="n">
        <v>3.832788</v>
      </c>
      <c r="T330" s="23">
        <f>IFERROR(AVERAGE(D330:S330),"")</f>
        <v/>
      </c>
    </row>
    <row r="331">
      <c r="A331" s="22" t="n">
        <v>45705</v>
      </c>
      <c r="B331" s="22" t="n">
        <v>45709</v>
      </c>
      <c r="C331">
        <f>TEXT(A331,"yyyy-mm")</f>
        <v/>
      </c>
      <c r="D331" s="20" t="n">
        <v>3.705418</v>
      </c>
      <c r="E331" s="20" t="n">
        <v>3.714473</v>
      </c>
      <c r="F331" s="20" t="n">
        <v>3.673613</v>
      </c>
      <c r="G331" s="20" t="n">
        <v>3.708098</v>
      </c>
      <c r="H331" s="20" t="n">
        <v>3.721775</v>
      </c>
      <c r="I331" s="20" t="n">
        <v>3.720705</v>
      </c>
      <c r="J331" s="20" t="n">
        <v>3.714225</v>
      </c>
      <c r="K331" s="20" t="n">
        <v>3.844858</v>
      </c>
      <c r="L331" s="20" t="n">
        <v>3.92052</v>
      </c>
      <c r="M331" s="20" t="n">
        <v>3.944573</v>
      </c>
      <c r="N331" s="20" t="n">
        <v>3.759825</v>
      </c>
      <c r="O331" s="20" t="n">
        <v>3.779368</v>
      </c>
      <c r="P331" s="20" t="n">
        <v>3.830148</v>
      </c>
      <c r="Q331" s="20" t="n">
        <v>3.811935</v>
      </c>
      <c r="R331" s="20" t="n">
        <v>3.787195</v>
      </c>
      <c r="S331" s="20" t="n">
        <v>3.781845</v>
      </c>
      <c r="T331" s="23">
        <f>IFERROR(AVERAGE(D331:S331),"")</f>
        <v/>
      </c>
    </row>
    <row r="332">
      <c r="A332" s="22" t="n">
        <v>45712</v>
      </c>
      <c r="B332" s="22" t="n">
        <v>45716</v>
      </c>
      <c r="C332">
        <f>TEXT(A332,"yyyy-mm")</f>
        <v/>
      </c>
      <c r="D332" s="20" t="n">
        <v>3.684756</v>
      </c>
      <c r="E332" s="20" t="n">
        <v>3.691728</v>
      </c>
      <c r="F332" s="20" t="n">
        <v>3.651332</v>
      </c>
      <c r="G332" s="20" t="n">
        <v>3.68535</v>
      </c>
      <c r="H332" s="20" t="n">
        <v>3.698986</v>
      </c>
      <c r="I332" s="20" t="n">
        <v>3.697702</v>
      </c>
      <c r="J332" s="20" t="n">
        <v>3.691584</v>
      </c>
      <c r="K332" s="20" t="n">
        <v>3.825476</v>
      </c>
      <c r="L332" s="20" t="n">
        <v>3.901092</v>
      </c>
      <c r="M332" s="20" t="n">
        <v>3.92555</v>
      </c>
      <c r="N332" s="20" t="n">
        <v>3.73768</v>
      </c>
      <c r="O332" s="20" t="n">
        <v>3.75755</v>
      </c>
      <c r="P332" s="20" t="n">
        <v>3.809194</v>
      </c>
      <c r="Q332" s="20" t="n">
        <v>3.79067</v>
      </c>
      <c r="R332" s="20" t="n">
        <v>3.765316</v>
      </c>
      <c r="S332" s="20" t="n">
        <v>3.760346</v>
      </c>
      <c r="T332" s="23">
        <f>IFERROR(AVERAGE(D332:S332),"")</f>
        <v/>
      </c>
    </row>
    <row r="333">
      <c r="A333" s="22" t="n">
        <v>45719</v>
      </c>
      <c r="B333" s="22" t="n">
        <v>45723</v>
      </c>
      <c r="C333">
        <f>TEXT(A333,"yyyy-mm")</f>
        <v/>
      </c>
      <c r="D333" s="20" t="n">
        <v>3.604378</v>
      </c>
      <c r="E333" s="20" t="n">
        <v>3.60857</v>
      </c>
      <c r="F333" s="20" t="n">
        <v>3.56901</v>
      </c>
      <c r="G333" s="20" t="n">
        <v>3.602042</v>
      </c>
      <c r="H333" s="20" t="n">
        <v>3.615322</v>
      </c>
      <c r="I333" s="20" t="n">
        <v>3.613682</v>
      </c>
      <c r="J333" s="20" t="n">
        <v>3.60761</v>
      </c>
      <c r="K333" s="20" t="n">
        <v>3.745938</v>
      </c>
      <c r="L333" s="20" t="n">
        <v>3.820666</v>
      </c>
      <c r="M333" s="20" t="n">
        <v>3.845514</v>
      </c>
      <c r="N333" s="20" t="n">
        <v>3.654634</v>
      </c>
      <c r="O333" s="20" t="n">
        <v>3.674824</v>
      </c>
      <c r="P333" s="20" t="n">
        <v>3.727296</v>
      </c>
      <c r="Q333" s="20" t="n">
        <v>3.708476</v>
      </c>
      <c r="R333" s="20" t="n">
        <v>3.682378</v>
      </c>
      <c r="S333" s="20" t="n">
        <v>3.677472</v>
      </c>
      <c r="T333" s="23">
        <f>IFERROR(AVERAGE(D333:S333),"")</f>
        <v/>
      </c>
    </row>
    <row r="334">
      <c r="A334" s="22" t="n">
        <v>45726</v>
      </c>
      <c r="B334" s="22" t="n">
        <v>45730</v>
      </c>
      <c r="C334">
        <f>TEXT(A334,"yyyy-mm")</f>
        <v/>
      </c>
      <c r="D334" s="20" t="n">
        <v>3.435704</v>
      </c>
      <c r="E334" s="20" t="n">
        <v>3.438316</v>
      </c>
      <c r="F334" s="20" t="n">
        <v>3.39992</v>
      </c>
      <c r="G334" s="20" t="n">
        <v>3.43155</v>
      </c>
      <c r="H334" s="20" t="n">
        <v>3.444272</v>
      </c>
      <c r="I334" s="20" t="n">
        <v>3.44214</v>
      </c>
      <c r="J334" s="20" t="n">
        <v>3.43598</v>
      </c>
      <c r="K334" s="20" t="n">
        <v>3.57394</v>
      </c>
      <c r="L334" s="20" t="n">
        <v>3.646236</v>
      </c>
      <c r="M334" s="20" t="n">
        <v>3.670678</v>
      </c>
      <c r="N334" s="20" t="n">
        <v>3.482936</v>
      </c>
      <c r="O334" s="20" t="n">
        <v>3.502796</v>
      </c>
      <c r="P334" s="20" t="n">
        <v>3.554402</v>
      </c>
      <c r="Q334" s="20" t="n">
        <v>3.535892</v>
      </c>
      <c r="R334" s="20" t="n">
        <v>3.509708</v>
      </c>
      <c r="S334" s="20" t="n">
        <v>3.504694</v>
      </c>
      <c r="T334" s="23">
        <f>IFERROR(AVERAGE(D334:S334),"")</f>
        <v/>
      </c>
    </row>
    <row r="335">
      <c r="A335" s="22" t="n">
        <v>45733</v>
      </c>
      <c r="B335" s="22" t="n">
        <v>45737</v>
      </c>
      <c r="C335">
        <f>TEXT(A335,"yyyy-mm")</f>
        <v/>
      </c>
      <c r="D335" s="20" t="n">
        <v>3.402068</v>
      </c>
      <c r="E335" s="20" t="n">
        <v>3.414812</v>
      </c>
      <c r="F335" s="20" t="n">
        <v>3.372392</v>
      </c>
      <c r="G335" s="20" t="n">
        <v>3.408832</v>
      </c>
      <c r="H335" s="20" t="n">
        <v>3.4234</v>
      </c>
      <c r="I335" s="20" t="n">
        <v>3.42297</v>
      </c>
      <c r="J335" s="20" t="n">
        <v>3.41692</v>
      </c>
      <c r="K335" s="20" t="n">
        <v>3.542576</v>
      </c>
      <c r="L335" s="20" t="n">
        <v>3.620912</v>
      </c>
      <c r="M335" s="20" t="n">
        <v>3.644814</v>
      </c>
      <c r="N335" s="20" t="n">
        <v>3.461214</v>
      </c>
      <c r="O335" s="20" t="n">
        <v>3.480634</v>
      </c>
      <c r="P335" s="20" t="n">
        <v>3.531102</v>
      </c>
      <c r="Q335" s="20" t="n">
        <v>3.513004</v>
      </c>
      <c r="R335" s="20" t="n">
        <v>3.489048</v>
      </c>
      <c r="S335" s="20" t="n">
        <v>3.484118</v>
      </c>
      <c r="T335" s="23">
        <f>IFERROR(AVERAGE(D335:S335),"")</f>
        <v/>
      </c>
    </row>
    <row r="336">
      <c r="A336" s="22" t="n">
        <v>45740</v>
      </c>
      <c r="B336" s="22" t="n">
        <v>45744</v>
      </c>
      <c r="C336">
        <f>TEXT(A336,"yyyy-mm")</f>
        <v/>
      </c>
      <c r="D336" s="20" t="n">
        <v>3.522784</v>
      </c>
      <c r="E336" s="20" t="n">
        <v>3.542738</v>
      </c>
      <c r="F336" s="20" t="n">
        <v>3.496854</v>
      </c>
      <c r="G336" s="20" t="n">
        <v>3.537234</v>
      </c>
      <c r="H336" s="20" t="n">
        <v>3.553004</v>
      </c>
      <c r="I336" s="20" t="n">
        <v>3.554088</v>
      </c>
      <c r="J336" s="20" t="n">
        <v>3.547244</v>
      </c>
      <c r="K336" s="20" t="n">
        <v>3.668876</v>
      </c>
      <c r="L336" s="20" t="n">
        <v>3.752652</v>
      </c>
      <c r="M336" s="20" t="n">
        <v>3.776808</v>
      </c>
      <c r="N336" s="20" t="n">
        <v>3.591226</v>
      </c>
      <c r="O336" s="20" t="n">
        <v>3.610858</v>
      </c>
      <c r="P336" s="20" t="n">
        <v>3.661868</v>
      </c>
      <c r="Q336" s="20" t="n">
        <v>3.643574</v>
      </c>
      <c r="R336" s="20" t="n">
        <v>3.620878</v>
      </c>
      <c r="S336" s="20" t="n">
        <v>3.615166</v>
      </c>
      <c r="T336" s="23">
        <f>IFERROR(AVERAGE(D336:S336),"")</f>
        <v/>
      </c>
    </row>
    <row r="337">
      <c r="A337" s="22" t="n">
        <v>45747</v>
      </c>
      <c r="B337" s="22" t="n">
        <v>45751</v>
      </c>
      <c r="C337">
        <f>TEXT(A337,"yyyy-mm")</f>
        <v/>
      </c>
      <c r="D337" s="20" t="n">
        <v>3.513266</v>
      </c>
      <c r="E337" s="20" t="n">
        <v>3.536734</v>
      </c>
      <c r="F337" s="20" t="n">
        <v>3.489372</v>
      </c>
      <c r="G337" s="20" t="n">
        <v>3.531538</v>
      </c>
      <c r="H337" s="20" t="n">
        <v>3.548016</v>
      </c>
      <c r="I337" s="20" t="n">
        <v>3.549722</v>
      </c>
      <c r="J337" s="20" t="n">
        <v>3.542986</v>
      </c>
      <c r="K337" s="20" t="n">
        <v>3.660456</v>
      </c>
      <c r="L337" s="20" t="n">
        <v>3.746572</v>
      </c>
      <c r="M337" s="20" t="n">
        <v>3.770602</v>
      </c>
      <c r="N337" s="20" t="n">
        <v>3.58603</v>
      </c>
      <c r="O337" s="20" t="n">
        <v>3.605556</v>
      </c>
      <c r="P337" s="20" t="n">
        <v>3.65629</v>
      </c>
      <c r="Q337" s="20" t="n">
        <v>3.63809</v>
      </c>
      <c r="R337" s="20" t="n">
        <v>3.61615</v>
      </c>
      <c r="S337" s="20" t="n">
        <v>3.61054</v>
      </c>
      <c r="T337" s="23">
        <f>IFERROR(AVERAGE(D337:S337),"")</f>
        <v/>
      </c>
    </row>
    <row r="338">
      <c r="A338" s="22" t="n">
        <v>45754</v>
      </c>
      <c r="B338" s="22" t="n">
        <v>45758</v>
      </c>
      <c r="C338">
        <f>TEXT(A338,"yyyy-mm")</f>
        <v/>
      </c>
      <c r="D338" s="20" t="n">
        <v>3.30683</v>
      </c>
      <c r="E338" s="20" t="n">
        <v>3.31881</v>
      </c>
      <c r="F338" s="20" t="n">
        <v>3.275872</v>
      </c>
      <c r="G338" s="20" t="n">
        <v>3.31256</v>
      </c>
      <c r="H338" s="20" t="n">
        <v>3.326644</v>
      </c>
      <c r="I338" s="20" t="n">
        <v>3.326522</v>
      </c>
      <c r="J338" s="20" t="n">
        <v>3.318846</v>
      </c>
      <c r="K338" s="20" t="n">
        <v>3.453042</v>
      </c>
      <c r="L338" s="20" t="n">
        <v>3.532268</v>
      </c>
      <c r="M338" s="20" t="n">
        <v>3.55715</v>
      </c>
      <c r="N338" s="20" t="n">
        <v>3.366008</v>
      </c>
      <c r="O338" s="20" t="n">
        <v>3.38623</v>
      </c>
      <c r="P338" s="20" t="n">
        <v>3.438768</v>
      </c>
      <c r="Q338" s="20" t="n">
        <v>3.419922</v>
      </c>
      <c r="R338" s="20" t="n">
        <v>3.395312</v>
      </c>
      <c r="S338" s="20" t="n">
        <v>3.388806</v>
      </c>
      <c r="T338" s="23">
        <f>IFERROR(AVERAGE(D338:S338),"")</f>
        <v/>
      </c>
    </row>
    <row r="339">
      <c r="A339" s="22" t="n">
        <v>45761</v>
      </c>
      <c r="B339" s="22" t="n">
        <v>45765</v>
      </c>
      <c r="C339">
        <f>TEXT(A339,"yyyy-mm")</f>
        <v/>
      </c>
      <c r="D339" s="20" t="n">
        <v>3.262063</v>
      </c>
      <c r="E339" s="20" t="n">
        <v>3.275773</v>
      </c>
      <c r="F339" s="20" t="n">
        <v>3.23243</v>
      </c>
      <c r="G339" s="20" t="n">
        <v>3.26936</v>
      </c>
      <c r="H339" s="20" t="n">
        <v>3.283143</v>
      </c>
      <c r="I339" s="20" t="n">
        <v>3.283255</v>
      </c>
      <c r="J339" s="20" t="n">
        <v>3.274503</v>
      </c>
      <c r="K339" s="20" t="n">
        <v>3.408008</v>
      </c>
      <c r="L339" s="20" t="n">
        <v>3.486923</v>
      </c>
      <c r="M339" s="20" t="n">
        <v>3.51158</v>
      </c>
      <c r="N339" s="20" t="n">
        <v>3.32216</v>
      </c>
      <c r="O339" s="20" t="n">
        <v>3.342198</v>
      </c>
      <c r="P339" s="20" t="n">
        <v>3.394263</v>
      </c>
      <c r="Q339" s="20" t="n">
        <v>3.375588</v>
      </c>
      <c r="R339" s="20" t="n">
        <v>3.351425</v>
      </c>
      <c r="S339" s="20" t="n">
        <v>3.343835</v>
      </c>
      <c r="T339" s="23">
        <f>IFERROR(AVERAGE(D339:S339),"")</f>
        <v/>
      </c>
    </row>
    <row r="340">
      <c r="A340" s="22" t="n">
        <v>45768</v>
      </c>
      <c r="B340" s="22" t="n">
        <v>45772</v>
      </c>
      <c r="C340">
        <f>TEXT(A340,"yyyy-mm")</f>
        <v/>
      </c>
      <c r="D340" s="20" t="n">
        <v>3.219618</v>
      </c>
      <c r="E340" s="20" t="n">
        <v>3.229634</v>
      </c>
      <c r="F340" s="20" t="n">
        <v>3.188392</v>
      </c>
      <c r="G340" s="20" t="n">
        <v>3.223166</v>
      </c>
      <c r="H340" s="20" t="n">
        <v>3.236686</v>
      </c>
      <c r="I340" s="20" t="n">
        <v>3.23582</v>
      </c>
      <c r="J340" s="20" t="n">
        <v>3.228586</v>
      </c>
      <c r="K340" s="20" t="n">
        <v>3.359926</v>
      </c>
      <c r="L340" s="20" t="n">
        <v>3.435764</v>
      </c>
      <c r="M340" s="20" t="n">
        <v>3.459852</v>
      </c>
      <c r="N340" s="20" t="n">
        <v>3.274796</v>
      </c>
      <c r="O340" s="20" t="n">
        <v>3.294374</v>
      </c>
      <c r="P340" s="20" t="n">
        <v>3.34524</v>
      </c>
      <c r="Q340" s="20" t="n">
        <v>3.326994</v>
      </c>
      <c r="R340" s="20" t="n">
        <v>3.30242</v>
      </c>
      <c r="S340" s="20" t="n">
        <v>3.296318</v>
      </c>
      <c r="T340" s="23">
        <f>IFERROR(AVERAGE(D340:S340),"")</f>
        <v/>
      </c>
    </row>
    <row r="341">
      <c r="A341" s="22" t="n">
        <v>45775</v>
      </c>
      <c r="B341" s="22" t="n">
        <v>45779</v>
      </c>
      <c r="C341">
        <f>TEXT(A341,"yyyy-mm")</f>
        <v/>
      </c>
      <c r="D341" s="20" t="n">
        <v>3.113288</v>
      </c>
      <c r="E341" s="20" t="n">
        <v>3.12442</v>
      </c>
      <c r="F341" s="20" t="n">
        <v>3.082922</v>
      </c>
      <c r="G341" s="20" t="n">
        <v>3.11806</v>
      </c>
      <c r="H341" s="20" t="n">
        <v>3.131818</v>
      </c>
      <c r="I341" s="20" t="n">
        <v>3.131046</v>
      </c>
      <c r="J341" s="20" t="n">
        <v>3.124094</v>
      </c>
      <c r="K341" s="20" t="n">
        <v>3.252534</v>
      </c>
      <c r="L341" s="20" t="n">
        <v>3.328668</v>
      </c>
      <c r="M341" s="20" t="n">
        <v>3.352486</v>
      </c>
      <c r="N341" s="20" t="n">
        <v>3.169506</v>
      </c>
      <c r="O341" s="20" t="n">
        <v>3.18886</v>
      </c>
      <c r="P341" s="20" t="n">
        <v>3.23916</v>
      </c>
      <c r="Q341" s="20" t="n">
        <v>3.221118</v>
      </c>
      <c r="R341" s="20" t="n">
        <v>3.1969</v>
      </c>
      <c r="S341" s="20" t="n">
        <v>3.191068</v>
      </c>
      <c r="T341" s="23">
        <f>IFERROR(AVERAGE(D341:S341),"")</f>
        <v/>
      </c>
    </row>
    <row r="342">
      <c r="A342" s="22" t="n">
        <v>45782</v>
      </c>
      <c r="B342" s="22" t="n">
        <v>45786</v>
      </c>
      <c r="C342">
        <f>TEXT(A342,"yyyy-mm")</f>
        <v/>
      </c>
      <c r="D342" s="20" t="n">
        <v>3.03247</v>
      </c>
      <c r="E342" s="20" t="n">
        <v>3.04208</v>
      </c>
      <c r="F342" s="20" t="n">
        <v>3.001144</v>
      </c>
      <c r="G342" s="20" t="n">
        <v>3.035574</v>
      </c>
      <c r="H342" s="20" t="n">
        <v>3.04901</v>
      </c>
      <c r="I342" s="20" t="n">
        <v>3.048004</v>
      </c>
      <c r="J342" s="20" t="n">
        <v>3.040892</v>
      </c>
      <c r="K342" s="20" t="n">
        <v>3.171746</v>
      </c>
      <c r="L342" s="20" t="n">
        <v>3.247006</v>
      </c>
      <c r="M342" s="20" t="n">
        <v>3.270966</v>
      </c>
      <c r="N342" s="20" t="n">
        <v>3.086914</v>
      </c>
      <c r="O342" s="20" t="n">
        <v>3.106384</v>
      </c>
      <c r="P342" s="20" t="n">
        <v>3.156976</v>
      </c>
      <c r="Q342" s="20" t="n">
        <v>3.138828</v>
      </c>
      <c r="R342" s="20" t="n">
        <v>3.114244</v>
      </c>
      <c r="S342" s="20" t="n">
        <v>3.108254</v>
      </c>
      <c r="T342" s="23">
        <f>IFERROR(AVERAGE(D342:S342),"")</f>
        <v/>
      </c>
    </row>
    <row r="343">
      <c r="A343" s="22" t="n">
        <v>45789</v>
      </c>
      <c r="B343" s="22" t="n">
        <v>45793</v>
      </c>
      <c r="C343">
        <f>TEXT(A343,"yyyy-mm")</f>
        <v/>
      </c>
      <c r="D343" s="20" t="n">
        <v>3.202266</v>
      </c>
      <c r="E343" s="20" t="n">
        <v>3.207222</v>
      </c>
      <c r="F343" s="20" t="n">
        <v>3.168454</v>
      </c>
      <c r="G343" s="20" t="n">
        <v>3.200474</v>
      </c>
      <c r="H343" s="20" t="n">
        <v>3.21326</v>
      </c>
      <c r="I343" s="20" t="n">
        <v>3.2113</v>
      </c>
      <c r="J343" s="20" t="n">
        <v>3.204912</v>
      </c>
      <c r="K343" s="20" t="n">
        <v>3.33809</v>
      </c>
      <c r="L343" s="20" t="n">
        <v>3.410142</v>
      </c>
      <c r="M343" s="20" t="n">
        <v>3.433962</v>
      </c>
      <c r="N343" s="20" t="n">
        <v>3.250952</v>
      </c>
      <c r="O343" s="20" t="n">
        <v>3.270314</v>
      </c>
      <c r="P343" s="20" t="n">
        <v>3.320618</v>
      </c>
      <c r="Q343" s="20" t="n">
        <v>3.302574</v>
      </c>
      <c r="R343" s="20" t="n">
        <v>3.277166</v>
      </c>
      <c r="S343" s="20" t="n">
        <v>3.271896</v>
      </c>
      <c r="T343" s="23">
        <f>IFERROR(AVERAGE(D343:S343),"")</f>
        <v/>
      </c>
    </row>
    <row r="344">
      <c r="A344" s="22" t="n">
        <v>45796</v>
      </c>
      <c r="B344" s="22" t="n">
        <v>45800</v>
      </c>
      <c r="C344">
        <f>TEXT(A344,"yyyy-mm")</f>
        <v/>
      </c>
      <c r="D344" s="20" t="n">
        <v>3.15549</v>
      </c>
      <c r="E344" s="20" t="n">
        <v>3.159888</v>
      </c>
      <c r="F344" s="20" t="n">
        <v>3.1214</v>
      </c>
      <c r="G344" s="20" t="n">
        <v>3.15311</v>
      </c>
      <c r="H344" s="20" t="n">
        <v>3.165816</v>
      </c>
      <c r="I344" s="20" t="n">
        <v>3.163732</v>
      </c>
      <c r="J344" s="20" t="n">
        <v>3.15745</v>
      </c>
      <c r="K344" s="20" t="n">
        <v>3.2908</v>
      </c>
      <c r="L344" s="20" t="n">
        <v>3.362418</v>
      </c>
      <c r="M344" s="20" t="n">
        <v>3.386208</v>
      </c>
      <c r="N344" s="20" t="n">
        <v>3.203458</v>
      </c>
      <c r="O344" s="20" t="n">
        <v>3.222788</v>
      </c>
      <c r="P344" s="20" t="n">
        <v>3.273022</v>
      </c>
      <c r="Q344" s="20" t="n">
        <v>3.255006</v>
      </c>
      <c r="R344" s="20" t="n">
        <v>3.229506</v>
      </c>
      <c r="S344" s="20" t="n">
        <v>3.22434</v>
      </c>
      <c r="T344" s="23">
        <f>IFERROR(AVERAGE(D344:S344),"")</f>
        <v/>
      </c>
    </row>
    <row r="345">
      <c r="A345" s="22" t="n">
        <v>45803</v>
      </c>
      <c r="B345" s="22" t="n">
        <v>45807</v>
      </c>
      <c r="C345">
        <f>TEXT(A345,"yyyy-mm")</f>
        <v/>
      </c>
      <c r="D345" s="20" t="n">
        <v>3.140978</v>
      </c>
      <c r="E345" s="20" t="n">
        <v>3.15527</v>
      </c>
      <c r="F345" s="20" t="n">
        <v>3.112168</v>
      </c>
      <c r="G345" s="20" t="n">
        <v>3.14938</v>
      </c>
      <c r="H345" s="20" t="n">
        <v>3.164175</v>
      </c>
      <c r="I345" s="20" t="n">
        <v>3.16405</v>
      </c>
      <c r="J345" s="20" t="n">
        <v>3.157815</v>
      </c>
      <c r="K345" s="20" t="n">
        <v>3.28236</v>
      </c>
      <c r="L345" s="20" t="n">
        <v>3.3617</v>
      </c>
      <c r="M345" s="20" t="n">
        <v>3.385603</v>
      </c>
      <c r="N345" s="20" t="n">
        <v>3.201993</v>
      </c>
      <c r="O345" s="20" t="n">
        <v>3.221415</v>
      </c>
      <c r="P345" s="20" t="n">
        <v>3.271885</v>
      </c>
      <c r="Q345" s="20" t="n">
        <v>3.253783</v>
      </c>
      <c r="R345" s="20" t="n">
        <v>3.23013</v>
      </c>
      <c r="S345" s="20" t="n">
        <v>3.22502</v>
      </c>
      <c r="T345" s="23">
        <f>IFERROR(AVERAGE(D345:S345),"")</f>
        <v/>
      </c>
    </row>
    <row r="346">
      <c r="A346" s="22" t="n">
        <v>45810</v>
      </c>
      <c r="B346" s="22" t="n">
        <v>45814</v>
      </c>
      <c r="C346">
        <f>TEXT(A346,"yyyy-mm")</f>
        <v/>
      </c>
      <c r="D346" s="20" t="n">
        <v>3.124236</v>
      </c>
      <c r="E346" s="20" t="n">
        <v>3.13543</v>
      </c>
      <c r="F346" s="20" t="n">
        <v>3.093994</v>
      </c>
      <c r="G346" s="20" t="n">
        <v>3.129164</v>
      </c>
      <c r="H346" s="20" t="n">
        <v>3.143102</v>
      </c>
      <c r="I346" s="20" t="n">
        <v>3.142276</v>
      </c>
      <c r="J346" s="20" t="n">
        <v>3.13579</v>
      </c>
      <c r="K346" s="20" t="n">
        <v>3.26265</v>
      </c>
      <c r="L346" s="20" t="n">
        <v>3.338844</v>
      </c>
      <c r="M346" s="20" t="n">
        <v>3.362528</v>
      </c>
      <c r="N346" s="20" t="n">
        <v>3.180572</v>
      </c>
      <c r="O346" s="20" t="n">
        <v>3.199822</v>
      </c>
      <c r="P346" s="20" t="n">
        <v>3.249838</v>
      </c>
      <c r="Q346" s="20" t="n">
        <v>3.2319</v>
      </c>
      <c r="R346" s="20" t="n">
        <v>3.207762</v>
      </c>
      <c r="S346" s="20" t="n">
        <v>3.202388</v>
      </c>
      <c r="T346" s="23">
        <f>IFERROR(AVERAGE(D346:S346),"")</f>
        <v/>
      </c>
    </row>
    <row r="347">
      <c r="A347" s="22" t="n">
        <v>45817</v>
      </c>
      <c r="B347" s="22" t="n">
        <v>45821</v>
      </c>
      <c r="C347">
        <f>TEXT(A347,"yyyy-mm")</f>
        <v/>
      </c>
      <c r="D347" s="20" t="n">
        <v>3.223554</v>
      </c>
      <c r="E347" s="20" t="n">
        <v>3.236594</v>
      </c>
      <c r="F347" s="20" t="n">
        <v>3.194706</v>
      </c>
      <c r="G347" s="20" t="n">
        <v>3.230332</v>
      </c>
      <c r="H347" s="20" t="n">
        <v>3.244302</v>
      </c>
      <c r="I347" s="20" t="n">
        <v>3.243692</v>
      </c>
      <c r="J347" s="20" t="n">
        <v>3.236822</v>
      </c>
      <c r="K347" s="20" t="n">
        <v>3.36117</v>
      </c>
      <c r="L347" s="20" t="n">
        <v>3.437496</v>
      </c>
      <c r="M347" s="20" t="n">
        <v>3.460874</v>
      </c>
      <c r="N347" s="20" t="n">
        <v>3.28129</v>
      </c>
      <c r="O347" s="20" t="n">
        <v>3.300284</v>
      </c>
      <c r="P347" s="20" t="n">
        <v>3.349652</v>
      </c>
      <c r="Q347" s="20" t="n">
        <v>3.331944</v>
      </c>
      <c r="R347" s="20" t="n">
        <v>3.308326</v>
      </c>
      <c r="S347" s="20" t="n">
        <v>3.30255</v>
      </c>
      <c r="T347" s="23">
        <f>IFERROR(AVERAGE(D347:S347),"")</f>
        <v/>
      </c>
    </row>
    <row r="348">
      <c r="A348" s="22" t="n">
        <v>45824</v>
      </c>
      <c r="B348" s="22" t="n">
        <v>45828</v>
      </c>
      <c r="C348">
        <f>TEXT(A348,"yyyy-mm")</f>
        <v/>
      </c>
      <c r="D348" s="20" t="n">
        <v>3.570808</v>
      </c>
      <c r="E348" s="20" t="n">
        <v>3.592573</v>
      </c>
      <c r="F348" s="20" t="n">
        <v>3.54707</v>
      </c>
      <c r="G348" s="20" t="n">
        <v>3.586743</v>
      </c>
      <c r="H348" s="20" t="n">
        <v>3.601835</v>
      </c>
      <c r="I348" s="20" t="n">
        <v>3.602815</v>
      </c>
      <c r="J348" s="20" t="n">
        <v>3.594833</v>
      </c>
      <c r="K348" s="20" t="n">
        <v>3.712078</v>
      </c>
      <c r="L348" s="20" t="n">
        <v>3.793338</v>
      </c>
      <c r="M348" s="20" t="n">
        <v>3.81651</v>
      </c>
      <c r="N348" s="20" t="n">
        <v>3.638498</v>
      </c>
      <c r="O348" s="20" t="n">
        <v>3.657328</v>
      </c>
      <c r="P348" s="20" t="n">
        <v>3.706258</v>
      </c>
      <c r="Q348" s="20" t="n">
        <v>3.68871</v>
      </c>
      <c r="R348" s="20" t="n">
        <v>3.666883</v>
      </c>
      <c r="S348" s="20" t="n">
        <v>3.659988</v>
      </c>
      <c r="T348" s="23">
        <f>IFERROR(AVERAGE(D348:S348),"")</f>
        <v/>
      </c>
    </row>
    <row r="349">
      <c r="A349" s="22" t="n">
        <v>45831</v>
      </c>
      <c r="B349" s="22" t="n">
        <v>45835</v>
      </c>
      <c r="C349">
        <f>TEXT(A349,"yyyy-mm")</f>
        <v/>
      </c>
      <c r="D349" s="20" t="n">
        <v>3.52096</v>
      </c>
      <c r="E349" s="20" t="n">
        <v>3.586304</v>
      </c>
      <c r="F349" s="20" t="n">
        <v>3.534792</v>
      </c>
      <c r="G349" s="20" t="n">
        <v>3.576304</v>
      </c>
      <c r="H349" s="20" t="n">
        <v>3.583662</v>
      </c>
      <c r="I349" s="20" t="n">
        <v>3.588442</v>
      </c>
      <c r="J349" s="20" t="n">
        <v>3.574958</v>
      </c>
      <c r="K349" s="20" t="n">
        <v>3.699962</v>
      </c>
      <c r="L349" s="20" t="n">
        <v>3.77536</v>
      </c>
      <c r="M349" s="20" t="n">
        <v>3.798554</v>
      </c>
      <c r="N349" s="20" t="n">
        <v>3.620362</v>
      </c>
      <c r="O349" s="20" t="n">
        <v>3.639214</v>
      </c>
      <c r="P349" s="20" t="n">
        <v>3.688192</v>
      </c>
      <c r="Q349" s="20" t="n">
        <v>3.670624</v>
      </c>
      <c r="R349" s="20" t="n">
        <v>3.652572</v>
      </c>
      <c r="S349" s="20" t="n">
        <v>3.640182</v>
      </c>
      <c r="T349" s="23">
        <f>IFERROR(AVERAGE(D349:S349),"")</f>
        <v/>
      </c>
    </row>
    <row r="350">
      <c r="A350" s="22" t="n">
        <v>45838</v>
      </c>
      <c r="B350" s="22" t="n">
        <v>45842</v>
      </c>
      <c r="C350">
        <f>TEXT(A350,"yyyy-mm")</f>
        <v/>
      </c>
      <c r="D350" s="20" t="n">
        <v>3.433173</v>
      </c>
      <c r="E350" s="20" t="n">
        <v>3.4958</v>
      </c>
      <c r="F350" s="20" t="n">
        <v>3.44592</v>
      </c>
      <c r="G350" s="20" t="n">
        <v>3.4858</v>
      </c>
      <c r="H350" s="20" t="n">
        <v>3.493038</v>
      </c>
      <c r="I350" s="20" t="n">
        <v>3.49705</v>
      </c>
      <c r="J350" s="20" t="n">
        <v>3.48532</v>
      </c>
      <c r="K350" s="20" t="n">
        <v>3.608945</v>
      </c>
      <c r="L350" s="20" t="n">
        <v>3.682245</v>
      </c>
      <c r="M350" s="20" t="n">
        <v>3.705143</v>
      </c>
      <c r="N350" s="20" t="n">
        <v>3.52926</v>
      </c>
      <c r="O350" s="20" t="n">
        <v>3.547868</v>
      </c>
      <c r="P350" s="20" t="n">
        <v>3.596213</v>
      </c>
      <c r="Q350" s="20" t="n">
        <v>3.57887</v>
      </c>
      <c r="R350" s="20" t="n">
        <v>3.56035</v>
      </c>
      <c r="S350" s="20" t="n">
        <v>3.549693</v>
      </c>
      <c r="T350" s="23">
        <f>IFERROR(AVERAGE(D350:S350),"")</f>
        <v/>
      </c>
    </row>
    <row r="351">
      <c r="A351" s="22" t="n">
        <v>45845</v>
      </c>
      <c r="B351" s="22" t="n">
        <v>45849</v>
      </c>
      <c r="C351">
        <f>TEXT(A351,"yyyy-mm")</f>
        <v/>
      </c>
      <c r="D351" s="20" t="n">
        <v>3.543622</v>
      </c>
      <c r="E351" s="20" t="n">
        <v>3.578372</v>
      </c>
      <c r="F351" s="20" t="n">
        <v>3.536322</v>
      </c>
      <c r="G351" s="20" t="n">
        <v>3.568372</v>
      </c>
      <c r="H351" s="20" t="n">
        <v>3.575026</v>
      </c>
      <c r="I351" s="20" t="n">
        <v>3.575368</v>
      </c>
      <c r="J351" s="20" t="n">
        <v>3.564052</v>
      </c>
      <c r="K351" s="20" t="n">
        <v>3.70123</v>
      </c>
      <c r="L351" s="20" t="n">
        <v>3.76642</v>
      </c>
      <c r="M351" s="20" t="n">
        <v>3.78958</v>
      </c>
      <c r="N351" s="20" t="n">
        <v>3.611668</v>
      </c>
      <c r="O351" s="20" t="n">
        <v>3.630486</v>
      </c>
      <c r="P351" s="20" t="n">
        <v>3.679392</v>
      </c>
      <c r="Q351" s="20" t="n">
        <v>3.66185</v>
      </c>
      <c r="R351" s="20" t="n">
        <v>3.6394</v>
      </c>
      <c r="S351" s="20" t="n">
        <v>3.629168</v>
      </c>
      <c r="T351" s="23">
        <f>IFERROR(AVERAGE(D351:S351),"")</f>
        <v/>
      </c>
    </row>
    <row r="352">
      <c r="A352" s="22" t="n">
        <v>45852</v>
      </c>
      <c r="B352" s="22" t="n">
        <v>45856</v>
      </c>
      <c r="C352">
        <f>TEXT(A352,"yyyy-mm")</f>
        <v/>
      </c>
      <c r="D352" s="20" t="n">
        <v>3.550718</v>
      </c>
      <c r="E352" s="20" t="n">
        <v>3.57649</v>
      </c>
      <c r="F352" s="20" t="n">
        <v>3.536876</v>
      </c>
      <c r="G352" s="20" t="n">
        <v>3.56649</v>
      </c>
      <c r="H352" s="20" t="n">
        <v>3.572962</v>
      </c>
      <c r="I352" s="20" t="n">
        <v>3.572162</v>
      </c>
      <c r="J352" s="20" t="n">
        <v>3.561118</v>
      </c>
      <c r="K352" s="20" t="n">
        <v>3.703904</v>
      </c>
      <c r="L352" s="20" t="n">
        <v>3.766818</v>
      </c>
      <c r="M352" s="20" t="n">
        <v>3.790272</v>
      </c>
      <c r="N352" s="20" t="n">
        <v>3.610072</v>
      </c>
      <c r="O352" s="20" t="n">
        <v>3.629134</v>
      </c>
      <c r="P352" s="20" t="n">
        <v>3.67867</v>
      </c>
      <c r="Q352" s="20" t="n">
        <v>3.6609</v>
      </c>
      <c r="R352" s="20" t="n">
        <v>3.637014</v>
      </c>
      <c r="S352" s="20" t="n">
        <v>3.62707</v>
      </c>
      <c r="T352" s="23">
        <f>IFERROR(AVERAGE(D352:S352),"")</f>
        <v/>
      </c>
    </row>
    <row r="353">
      <c r="A353" s="22" t="n">
        <v>45859</v>
      </c>
      <c r="B353" s="22" t="n">
        <v>45863</v>
      </c>
      <c r="C353">
        <f>TEXT(A353,"yyyy-mm")</f>
        <v/>
      </c>
      <c r="D353" s="20" t="n">
        <v>3.605258</v>
      </c>
      <c r="E353" s="20" t="n">
        <v>3.63952</v>
      </c>
      <c r="F353" s="20" t="n">
        <v>3.597446</v>
      </c>
      <c r="G353" s="20" t="n">
        <v>3.62952</v>
      </c>
      <c r="H353" s="20" t="n">
        <v>3.636176</v>
      </c>
      <c r="I353" s="20" t="n">
        <v>3.63653</v>
      </c>
      <c r="J353" s="20" t="n">
        <v>3.625156</v>
      </c>
      <c r="K353" s="20" t="n">
        <v>3.763794</v>
      </c>
      <c r="L353" s="20" t="n">
        <v>3.829238</v>
      </c>
      <c r="M353" s="20" t="n">
        <v>3.852602</v>
      </c>
      <c r="N353" s="20" t="n">
        <v>3.673138</v>
      </c>
      <c r="O353" s="20" t="n">
        <v>3.692122</v>
      </c>
      <c r="P353" s="20" t="n">
        <v>3.741452</v>
      </c>
      <c r="Q353" s="20" t="n">
        <v>3.72376</v>
      </c>
      <c r="R353" s="20" t="n">
        <v>3.701118</v>
      </c>
      <c r="S353" s="20" t="n">
        <v>3.69084</v>
      </c>
      <c r="T353" s="23">
        <f>IFERROR(AVERAGE(D353:S353),"")</f>
        <v/>
      </c>
    </row>
    <row r="354">
      <c r="A354" s="22" t="n">
        <v>45866</v>
      </c>
      <c r="B354" s="22" t="n">
        <v>45870</v>
      </c>
      <c r="C354">
        <f>TEXT(A354,"yyyy-mm")</f>
        <v/>
      </c>
      <c r="D354" s="20" t="n">
        <v>3.584938</v>
      </c>
      <c r="E354" s="20" t="n">
        <v>3.62589</v>
      </c>
      <c r="F354" s="20" t="n">
        <v>3.58193</v>
      </c>
      <c r="G354" s="20" t="n">
        <v>3.61589</v>
      </c>
      <c r="H354" s="20" t="n">
        <v>3.622684</v>
      </c>
      <c r="I354" s="20" t="n">
        <v>3.62392</v>
      </c>
      <c r="J354" s="20" t="n">
        <v>3.612842</v>
      </c>
      <c r="K354" s="20" t="n">
        <v>3.749408</v>
      </c>
      <c r="L354" s="20" t="n">
        <v>3.81706</v>
      </c>
      <c r="M354" s="20" t="n">
        <v>3.840576</v>
      </c>
      <c r="N354" s="20" t="n">
        <v>3.659894</v>
      </c>
      <c r="O354" s="20" t="n">
        <v>3.679008</v>
      </c>
      <c r="P354" s="20" t="n">
        <v>3.728674</v>
      </c>
      <c r="Q354" s="20" t="n">
        <v>3.710858</v>
      </c>
      <c r="R354" s="20" t="n">
        <v>3.688946</v>
      </c>
      <c r="S354" s="20" t="n">
        <v>3.678972</v>
      </c>
      <c r="T354" s="23">
        <f>IFERROR(AVERAGE(D354:S354),"")</f>
        <v/>
      </c>
    </row>
    <row r="355">
      <c r="A355" s="22" t="n">
        <v>45873</v>
      </c>
      <c r="B355" s="22" t="n">
        <v>45877</v>
      </c>
      <c r="C355">
        <f>TEXT(A355,"yyyy-mm")</f>
        <v/>
      </c>
      <c r="D355" s="20" t="n">
        <v>3.36923</v>
      </c>
      <c r="E355" s="20" t="n">
        <v>3.422086</v>
      </c>
      <c r="F355" s="20" t="n">
        <v>3.375232</v>
      </c>
      <c r="G355" s="20" t="n">
        <v>3.412086</v>
      </c>
      <c r="H355" s="20" t="n">
        <v>3.4191</v>
      </c>
      <c r="I355" s="20" t="n">
        <v>3.421694</v>
      </c>
      <c r="J355" s="20" t="n">
        <v>3.41097</v>
      </c>
      <c r="K355" s="20" t="n">
        <v>3.539326</v>
      </c>
      <c r="L355" s="20" t="n">
        <v>3.609548</v>
      </c>
      <c r="M355" s="20" t="n">
        <v>3.632594</v>
      </c>
      <c r="N355" s="20" t="n">
        <v>3.45556</v>
      </c>
      <c r="O355" s="20" t="n">
        <v>3.474288</v>
      </c>
      <c r="P355" s="20" t="n">
        <v>3.52295</v>
      </c>
      <c r="Q355" s="20" t="n">
        <v>3.505496</v>
      </c>
      <c r="R355" s="20" t="n">
        <v>3.48541</v>
      </c>
      <c r="S355" s="20" t="n">
        <v>3.475764</v>
      </c>
      <c r="T355" s="23">
        <f>IFERROR(AVERAGE(D355:S355),"")</f>
        <v/>
      </c>
    </row>
    <row r="356">
      <c r="A356" s="22" t="n">
        <v>45880</v>
      </c>
      <c r="B356" s="22" t="n">
        <v>45884</v>
      </c>
      <c r="C356">
        <f>TEXT(A356,"yyyy-mm")</f>
        <v/>
      </c>
      <c r="D356" s="20" t="n">
        <v>3.253826</v>
      </c>
      <c r="E356" s="20" t="n">
        <v>3.28658</v>
      </c>
      <c r="F356" s="20" t="n">
        <v>3.245228</v>
      </c>
      <c r="G356" s="20" t="n">
        <v>3.27658</v>
      </c>
      <c r="H356" s="20" t="n">
        <v>3.283184</v>
      </c>
      <c r="I356" s="20" t="n">
        <v>3.283196</v>
      </c>
      <c r="J356" s="20" t="n">
        <v>3.271554</v>
      </c>
      <c r="K356" s="20" t="n">
        <v>3.40739</v>
      </c>
      <c r="L356" s="20" t="n">
        <v>3.471386</v>
      </c>
      <c r="M356" s="20" t="n">
        <v>3.494158</v>
      </c>
      <c r="N356" s="20" t="n">
        <v>3.319214</v>
      </c>
      <c r="O356" s="20" t="n">
        <v>3.33772</v>
      </c>
      <c r="P356" s="20" t="n">
        <v>3.38581</v>
      </c>
      <c r="Q356" s="20" t="n">
        <v>3.368562</v>
      </c>
      <c r="R356" s="20" t="n">
        <v>3.34616</v>
      </c>
      <c r="S356" s="20" t="n">
        <v>3.335584</v>
      </c>
      <c r="T356" s="23">
        <f>IFERROR(AVERAGE(D356:S356),"")</f>
        <v/>
      </c>
    </row>
    <row r="357">
      <c r="A357" s="22" t="n">
        <v>45887</v>
      </c>
      <c r="B357" s="22" t="n">
        <v>45891</v>
      </c>
      <c r="C357">
        <f>TEXT(A357,"yyyy-mm")</f>
        <v/>
      </c>
      <c r="D357" s="20" t="n">
        <v>3.338048</v>
      </c>
      <c r="E357" s="20" t="n">
        <v>3.390382</v>
      </c>
      <c r="F357" s="20" t="n">
        <v>3.343706</v>
      </c>
      <c r="G357" s="20" t="n">
        <v>3.380382</v>
      </c>
      <c r="H357" s="20" t="n">
        <v>3.38738</v>
      </c>
      <c r="I357" s="20" t="n">
        <v>3.38989</v>
      </c>
      <c r="J357" s="20" t="n">
        <v>3.379132</v>
      </c>
      <c r="K357" s="20" t="n">
        <v>3.507354</v>
      </c>
      <c r="L357" s="20" t="n">
        <v>3.57731</v>
      </c>
      <c r="M357" s="20" t="n">
        <v>3.600294</v>
      </c>
      <c r="N357" s="20" t="n">
        <v>3.42374</v>
      </c>
      <c r="O357" s="20" t="n">
        <v>3.44242</v>
      </c>
      <c r="P357" s="20" t="n">
        <v>3.490948</v>
      </c>
      <c r="Q357" s="20" t="n">
        <v>3.473542</v>
      </c>
      <c r="R357" s="20" t="n">
        <v>3.453432</v>
      </c>
      <c r="S357" s="20" t="n">
        <v>3.44375</v>
      </c>
      <c r="T357" s="23">
        <f>IFERROR(AVERAGE(D357:S357),"")</f>
        <v/>
      </c>
    </row>
    <row r="358">
      <c r="A358" s="22" t="n">
        <v>45894</v>
      </c>
      <c r="B358" s="22" t="n">
        <v>45898</v>
      </c>
      <c r="C358">
        <f>TEXT(A358,"yyyy-mm")</f>
        <v/>
      </c>
      <c r="D358" s="20" t="n">
        <v>3.420454</v>
      </c>
      <c r="E358" s="20" t="n">
        <v>3.492778</v>
      </c>
      <c r="F358" s="20" t="n">
        <v>3.440388</v>
      </c>
      <c r="G358" s="20" t="n">
        <v>3.482778</v>
      </c>
      <c r="H358" s="20" t="n">
        <v>3.490204</v>
      </c>
      <c r="I358" s="20" t="n">
        <v>3.49539</v>
      </c>
      <c r="J358" s="20" t="n">
        <v>3.48414</v>
      </c>
      <c r="K358" s="20" t="n">
        <v>3.602908</v>
      </c>
      <c r="L358" s="20" t="n">
        <v>3.67882</v>
      </c>
      <c r="M358" s="20" t="n">
        <v>3.701644</v>
      </c>
      <c r="N358" s="20" t="n">
        <v>3.526312</v>
      </c>
      <c r="O358" s="20" t="n">
        <v>3.54486</v>
      </c>
      <c r="P358" s="20" t="n">
        <v>3.593054</v>
      </c>
      <c r="Q358" s="20" t="n">
        <v>3.575768</v>
      </c>
      <c r="R358" s="20" t="n">
        <v>3.558494</v>
      </c>
      <c r="S358" s="20" t="n">
        <v>3.548312</v>
      </c>
      <c r="T358" s="23">
        <f>IFERROR(AVERAGE(D358:S358),"")</f>
        <v/>
      </c>
    </row>
    <row r="359">
      <c r="A359" s="22" t="n">
        <v>45901</v>
      </c>
      <c r="B359" s="22" t="n">
        <v>45905</v>
      </c>
      <c r="C359">
        <f>TEXT(A359,"yyyy-mm")</f>
        <v/>
      </c>
      <c r="D359" s="20" t="n">
        <v>3.41151</v>
      </c>
      <c r="E359" s="20" t="n">
        <v>3.459625</v>
      </c>
      <c r="F359" s="20" t="n">
        <v>3.413628</v>
      </c>
      <c r="G359" s="20" t="n">
        <v>3.449625</v>
      </c>
      <c r="H359" s="20" t="n">
        <v>3.456575</v>
      </c>
      <c r="I359" s="20" t="n">
        <v>3.458768</v>
      </c>
      <c r="J359" s="20" t="n">
        <v>3.446545</v>
      </c>
      <c r="K359" s="20" t="n">
        <v>3.576843</v>
      </c>
      <c r="L359" s="20" t="n">
        <v>3.646</v>
      </c>
      <c r="M359" s="20" t="n">
        <v>3.668928</v>
      </c>
      <c r="N359" s="20" t="n">
        <v>3.49284</v>
      </c>
      <c r="O359" s="20" t="n">
        <v>3.511465</v>
      </c>
      <c r="P359" s="20" t="n">
        <v>3.55987</v>
      </c>
      <c r="Q359" s="20" t="n">
        <v>3.54251</v>
      </c>
      <c r="R359" s="20" t="n">
        <v>3.522143</v>
      </c>
      <c r="S359" s="20" t="n">
        <v>3.510993</v>
      </c>
      <c r="T359" s="23">
        <f>IFERROR(AVERAGE(D359:S359),"")</f>
        <v/>
      </c>
    </row>
    <row r="360">
      <c r="A360" s="22" t="n">
        <v>45908</v>
      </c>
      <c r="B360" s="22" t="n">
        <v>45912</v>
      </c>
      <c r="C360">
        <f>TEXT(A360,"yyyy-mm")</f>
        <v/>
      </c>
      <c r="D360" s="20" t="n">
        <v>3.36114</v>
      </c>
      <c r="E360" s="20" t="n">
        <v>3.403062</v>
      </c>
      <c r="F360" s="20" t="n">
        <v>3.359438</v>
      </c>
      <c r="G360" s="20" t="n">
        <v>3.393062</v>
      </c>
      <c r="H360" s="20" t="n">
        <v>3.399834</v>
      </c>
      <c r="I360" s="20" t="n">
        <v>3.400912</v>
      </c>
      <c r="J360" s="20" t="n">
        <v>3.390046</v>
      </c>
      <c r="K360" s="20" t="n">
        <v>3.521352</v>
      </c>
      <c r="L360" s="20" t="n">
        <v>3.587748</v>
      </c>
      <c r="M360" s="20" t="n">
        <v>3.61049</v>
      </c>
      <c r="N360" s="20" t="n">
        <v>3.435808</v>
      </c>
      <c r="O360" s="20" t="n">
        <v>3.454288</v>
      </c>
      <c r="P360" s="20" t="n">
        <v>3.502302</v>
      </c>
      <c r="Q360" s="20" t="n">
        <v>3.48508</v>
      </c>
      <c r="R360" s="20" t="n">
        <v>3.463776</v>
      </c>
      <c r="S360" s="20" t="n">
        <v>3.45398</v>
      </c>
      <c r="T360" s="23">
        <f>IFERROR(AVERAGE(D360:S360),"")</f>
        <v/>
      </c>
    </row>
    <row r="361">
      <c r="A361" s="22" t="n">
        <v>45915</v>
      </c>
      <c r="B361" s="22" t="n">
        <v>45919</v>
      </c>
      <c r="C361">
        <f>TEXT(A361,"yyyy-mm")</f>
        <v/>
      </c>
      <c r="D361" s="20" t="n">
        <v>3.328706</v>
      </c>
      <c r="E361" s="20" t="n">
        <v>3.362308</v>
      </c>
      <c r="F361" s="20" t="n">
        <v>3.3209</v>
      </c>
      <c r="G361" s="20" t="n">
        <v>3.352308</v>
      </c>
      <c r="H361" s="20" t="n">
        <v>3.35891</v>
      </c>
      <c r="I361" s="20" t="n">
        <v>3.35895</v>
      </c>
      <c r="J361" s="20" t="n">
        <v>3.347044</v>
      </c>
      <c r="K361" s="20" t="n">
        <v>3.48002</v>
      </c>
      <c r="L361" s="20" t="n">
        <v>3.543582</v>
      </c>
      <c r="M361" s="20" t="n">
        <v>3.56593</v>
      </c>
      <c r="N361" s="20" t="n">
        <v>3.394264</v>
      </c>
      <c r="O361" s="20" t="n">
        <v>3.412426</v>
      </c>
      <c r="P361" s="20" t="n">
        <v>3.45961</v>
      </c>
      <c r="Q361" s="20" t="n">
        <v>3.442686</v>
      </c>
      <c r="R361" s="20" t="n">
        <v>3.42073</v>
      </c>
      <c r="S361" s="20" t="n">
        <v>3.409876</v>
      </c>
      <c r="T361" s="23">
        <f>IFERROR(AVERAGE(D361:S361),"")</f>
        <v/>
      </c>
    </row>
    <row r="362">
      <c r="A362" s="22" t="n">
        <v>45922</v>
      </c>
      <c r="B362" s="22" t="n">
        <v>45926</v>
      </c>
      <c r="C362">
        <f>TEXT(A362,"yyyy-mm")</f>
        <v/>
      </c>
      <c r="D362" s="20" t="n">
        <v>3.380232</v>
      </c>
      <c r="E362" s="20" t="n">
        <v>3.423176</v>
      </c>
      <c r="F362" s="20" t="n">
        <v>3.379514</v>
      </c>
      <c r="G362" s="20" t="n">
        <v>3.413176</v>
      </c>
      <c r="H362" s="20" t="n">
        <v>3.41995</v>
      </c>
      <c r="I362" s="20" t="n">
        <v>3.421044</v>
      </c>
      <c r="J362" s="20" t="n">
        <v>3.410324</v>
      </c>
      <c r="K362" s="20" t="n">
        <v>3.539318</v>
      </c>
      <c r="L362" s="20" t="n">
        <v>3.605414</v>
      </c>
      <c r="M362" s="20" t="n">
        <v>3.627858</v>
      </c>
      <c r="N362" s="20" t="n">
        <v>3.455454</v>
      </c>
      <c r="O362" s="20" t="n">
        <v>3.473692</v>
      </c>
      <c r="P362" s="20" t="n">
        <v>3.521082</v>
      </c>
      <c r="Q362" s="20" t="n">
        <v>3.504086</v>
      </c>
      <c r="R362" s="20" t="n">
        <v>3.48309</v>
      </c>
      <c r="S362" s="20" t="n">
        <v>3.473422</v>
      </c>
      <c r="T362" s="23">
        <f>IFERROR(AVERAGE(D362:S362),"")</f>
        <v/>
      </c>
    </row>
    <row r="363">
      <c r="A363" s="22" t="n">
        <v>45929</v>
      </c>
      <c r="B363" s="22" t="n">
        <v>45933</v>
      </c>
      <c r="C363">
        <f>TEXT(A363,"yyyy-mm")</f>
        <v/>
      </c>
      <c r="D363" s="20" t="n">
        <v>3.405852</v>
      </c>
      <c r="E363" s="20" t="n">
        <v>3.466908</v>
      </c>
      <c r="F363" s="20" t="n">
        <v>3.417566</v>
      </c>
      <c r="G363" s="20" t="n">
        <v>3.456908</v>
      </c>
      <c r="H363" s="20" t="n">
        <v>3.464108</v>
      </c>
      <c r="I363" s="20" t="n">
        <v>3.467872</v>
      </c>
      <c r="J363" s="20" t="n">
        <v>3.455584</v>
      </c>
      <c r="K363" s="20" t="n">
        <v>3.57736</v>
      </c>
      <c r="L363" s="20" t="n">
        <v>3.649568</v>
      </c>
      <c r="M363" s="20" t="n">
        <v>3.67201</v>
      </c>
      <c r="N363" s="20" t="n">
        <v>3.499614</v>
      </c>
      <c r="O363" s="20" t="n">
        <v>3.51785</v>
      </c>
      <c r="P363" s="20" t="n">
        <v>3.56524</v>
      </c>
      <c r="Q363" s="20" t="n">
        <v>3.54824</v>
      </c>
      <c r="R363" s="20" t="n">
        <v>3.529916</v>
      </c>
      <c r="S363" s="20" t="n">
        <v>3.51868</v>
      </c>
      <c r="T363" s="23">
        <f>IFERROR(AVERAGE(D363:S363),"")</f>
        <v/>
      </c>
    </row>
    <row r="364">
      <c r="A364" s="22" t="n">
        <v>45936</v>
      </c>
      <c r="B364" s="22" t="n">
        <v>45940</v>
      </c>
      <c r="C364">
        <f>TEXT(A364,"yyyy-mm")</f>
        <v/>
      </c>
      <c r="D364" s="20" t="n">
        <v>3.287056</v>
      </c>
      <c r="E364" s="20" t="n">
        <v>3.33564</v>
      </c>
      <c r="F364" s="20" t="n">
        <v>3.289712</v>
      </c>
      <c r="G364" s="20" t="n">
        <v>3.32564</v>
      </c>
      <c r="H364" s="20" t="n">
        <v>3.332582</v>
      </c>
      <c r="I364" s="20" t="n">
        <v>3.334742</v>
      </c>
      <c r="J364" s="20" t="n">
        <v>3.32256</v>
      </c>
      <c r="K364" s="20" t="n">
        <v>3.450932</v>
      </c>
      <c r="L364" s="20" t="n">
        <v>3.519698</v>
      </c>
      <c r="M364" s="20" t="n">
        <v>3.542342</v>
      </c>
      <c r="N364" s="20" t="n">
        <v>3.368404</v>
      </c>
      <c r="O364" s="20" t="n">
        <v>3.386802</v>
      </c>
      <c r="P364" s="20" t="n">
        <v>3.434614</v>
      </c>
      <c r="Q364" s="20" t="n">
        <v>3.417464</v>
      </c>
      <c r="R364" s="20" t="n">
        <v>3.397342</v>
      </c>
      <c r="S364" s="20" t="n">
        <v>3.38622</v>
      </c>
      <c r="T364" s="23">
        <f>IFERROR(AVERAGE(D364:S364),"")</f>
        <v/>
      </c>
    </row>
    <row r="365">
      <c r="A365" s="22" t="n">
        <v>45943</v>
      </c>
      <c r="B365" s="22" t="n">
        <v>45947</v>
      </c>
      <c r="C365">
        <f>TEXT(A365,"yyyy-mm")</f>
        <v/>
      </c>
      <c r="D365" s="20" t="n">
        <v>3.255712</v>
      </c>
      <c r="E365" s="20" t="n">
        <v>3.322714</v>
      </c>
      <c r="F365" s="20" t="n">
        <v>3.27123</v>
      </c>
      <c r="G365" s="20" t="n">
        <v>3.312714</v>
      </c>
      <c r="H365" s="20" t="n">
        <v>3.320076</v>
      </c>
      <c r="I365" s="20" t="n">
        <v>3.32484</v>
      </c>
      <c r="J365" s="20" t="n">
        <v>3.312182</v>
      </c>
      <c r="K365" s="20" t="n">
        <v>3.434492</v>
      </c>
      <c r="L365" s="20" t="n">
        <v>3.509556</v>
      </c>
      <c r="M365" s="20" t="n">
        <v>3.532484</v>
      </c>
      <c r="N365" s="20" t="n">
        <v>3.35635</v>
      </c>
      <c r="O365" s="20" t="n">
        <v>3.374982</v>
      </c>
      <c r="P365" s="20" t="n">
        <v>3.423398</v>
      </c>
      <c r="Q365" s="20" t="n">
        <v>3.406032</v>
      </c>
      <c r="R365" s="20" t="n">
        <v>3.38823</v>
      </c>
      <c r="S365" s="20" t="n">
        <v>3.37665</v>
      </c>
      <c r="T365" s="23">
        <f>IFERROR(AVERAGE(D365:S365),"")</f>
        <v/>
      </c>
    </row>
    <row r="366">
      <c r="A366" s="22" t="n">
        <v>45950</v>
      </c>
      <c r="B366" s="22" t="n">
        <v>45954</v>
      </c>
      <c r="C366">
        <f>TEXT(A366,"yyyy-mm")</f>
        <v/>
      </c>
      <c r="D366" s="20" t="n">
        <v>3.20521</v>
      </c>
      <c r="E366" s="20" t="n">
        <v>3.254784</v>
      </c>
      <c r="F366" s="20" t="n">
        <v>3.208224</v>
      </c>
      <c r="G366" s="20" t="n">
        <v>3.244784</v>
      </c>
      <c r="H366" s="20" t="n">
        <v>3.251774</v>
      </c>
      <c r="I366" s="20" t="n">
        <v>3.254228</v>
      </c>
      <c r="J366" s="20" t="n">
        <v>3.24119</v>
      </c>
      <c r="K366" s="20" t="n">
        <v>3.369752</v>
      </c>
      <c r="L366" s="20" t="n">
        <v>3.439234</v>
      </c>
      <c r="M366" s="20" t="n">
        <v>3.461922</v>
      </c>
      <c r="N366" s="20" t="n">
        <v>3.28766</v>
      </c>
      <c r="O366" s="20" t="n">
        <v>3.306096</v>
      </c>
      <c r="P366" s="20" t="n">
        <v>3.353996</v>
      </c>
      <c r="Q366" s="20" t="n">
        <v>3.336814</v>
      </c>
      <c r="R366" s="20" t="n">
        <v>3.316942</v>
      </c>
      <c r="S366" s="20" t="n">
        <v>3.304968</v>
      </c>
      <c r="T366" s="23">
        <f>IFERROR(AVERAGE(D366:S366),"")</f>
        <v/>
      </c>
    </row>
    <row r="367">
      <c r="A367" s="22" t="n">
        <v>45957</v>
      </c>
      <c r="B367" s="22" t="n">
        <v>45961</v>
      </c>
      <c r="C367">
        <f>TEXT(A367,"yyyy-mm")</f>
        <v/>
      </c>
      <c r="D367" s="20" t="n">
        <v>3.448432</v>
      </c>
      <c r="E367" s="20" t="n">
        <v>3.493302</v>
      </c>
      <c r="F367" s="20" t="n">
        <v>3.447988</v>
      </c>
      <c r="G367" s="20" t="n">
        <v>3.483302</v>
      </c>
      <c r="H367" s="20" t="n">
        <v>3.4902</v>
      </c>
      <c r="I367" s="20" t="n">
        <v>3.49207</v>
      </c>
      <c r="J367" s="20" t="n">
        <v>3.47866</v>
      </c>
      <c r="K367" s="20" t="n">
        <v>3.608918</v>
      </c>
      <c r="L367" s="20" t="n">
        <v>3.67697</v>
      </c>
      <c r="M367" s="20" t="n">
        <v>3.69957</v>
      </c>
      <c r="N367" s="20" t="n">
        <v>3.525956</v>
      </c>
      <c r="O367" s="20" t="n">
        <v>3.544324</v>
      </c>
      <c r="P367" s="20" t="n">
        <v>3.592044</v>
      </c>
      <c r="Q367" s="20" t="n">
        <v>3.574928</v>
      </c>
      <c r="R367" s="20" t="n">
        <v>3.554554</v>
      </c>
      <c r="S367" s="20" t="n">
        <v>3.542206</v>
      </c>
      <c r="T367" s="23">
        <f>IFERROR(AVERAGE(D367:S367),"")</f>
        <v/>
      </c>
    </row>
    <row r="368">
      <c r="A368" s="22" t="n">
        <v>45964</v>
      </c>
      <c r="B368" s="22" t="n">
        <v>45968</v>
      </c>
      <c r="C368">
        <f>TEXT(A368,"yyyy-mm")</f>
        <v/>
      </c>
      <c r="D368" s="20" t="n">
        <v>3.459696</v>
      </c>
      <c r="E368" s="20" t="n">
        <v>3.490452</v>
      </c>
      <c r="F368" s="20" t="n">
        <v>3.449922</v>
      </c>
      <c r="G368" s="20" t="n">
        <v>3.480452</v>
      </c>
      <c r="H368" s="20" t="n">
        <v>3.48699</v>
      </c>
      <c r="I368" s="20" t="n">
        <v>3.486618</v>
      </c>
      <c r="J368" s="20" t="n">
        <v>3.475308</v>
      </c>
      <c r="K368" s="20" t="n">
        <v>3.610648</v>
      </c>
      <c r="L368" s="20" t="n">
        <v>3.673526</v>
      </c>
      <c r="M368" s="20" t="n">
        <v>3.696096</v>
      </c>
      <c r="N368" s="20" t="n">
        <v>3.522704</v>
      </c>
      <c r="O368" s="20" t="n">
        <v>3.541044</v>
      </c>
      <c r="P368" s="20" t="n">
        <v>3.588708</v>
      </c>
      <c r="Q368" s="20" t="n">
        <v>3.571612</v>
      </c>
      <c r="R368" s="20" t="n">
        <v>3.549024</v>
      </c>
      <c r="S368" s="20" t="n">
        <v>3.538772</v>
      </c>
      <c r="T368" s="23">
        <f>IFERROR(AVERAGE(D368:S368),"")</f>
        <v/>
      </c>
    </row>
    <row r="369">
      <c r="A369" s="22" t="n">
        <v>45971</v>
      </c>
      <c r="B369" s="22" t="n">
        <v>45975</v>
      </c>
      <c r="C369">
        <f>TEXT(A369,"yyyy-mm")</f>
        <v/>
      </c>
      <c r="D369" s="20" t="n">
        <v>3.541432</v>
      </c>
      <c r="E369" s="20" t="n">
        <v>3.591104</v>
      </c>
      <c r="F369" s="20" t="n">
        <v>3.544392</v>
      </c>
      <c r="G369" s="20" t="n">
        <v>3.581104</v>
      </c>
      <c r="H369" s="20" t="n">
        <v>3.58811</v>
      </c>
      <c r="I369" s="20" t="n">
        <v>3.590634</v>
      </c>
      <c r="J369" s="20" t="n">
        <v>3.576544</v>
      </c>
      <c r="K369" s="20" t="n">
        <v>3.703112</v>
      </c>
      <c r="L369" s="20" t="n">
        <v>3.772324</v>
      </c>
      <c r="M369" s="20" t="n">
        <v>3.79461</v>
      </c>
      <c r="N369" s="20" t="n">
        <v>3.623374</v>
      </c>
      <c r="O369" s="20" t="n">
        <v>3.641488</v>
      </c>
      <c r="P369" s="20" t="n">
        <v>3.688556</v>
      </c>
      <c r="Q369" s="20" t="n">
        <v>3.671674</v>
      </c>
      <c r="R369" s="20" t="n">
        <v>3.652262</v>
      </c>
      <c r="S369" s="20" t="n">
        <v>3.63922</v>
      </c>
      <c r="T369" s="23">
        <f>IFERROR(AVERAGE(D369:S369),"")</f>
        <v/>
      </c>
    </row>
    <row r="370">
      <c r="A370" s="22" t="n">
        <v>45978</v>
      </c>
      <c r="B370" s="22" t="n">
        <v>45982</v>
      </c>
      <c r="C370">
        <f>TEXT(A370,"yyyy-mm")</f>
        <v/>
      </c>
      <c r="D370" s="20" t="n">
        <v>3.63507</v>
      </c>
      <c r="E370" s="20" t="n">
        <v>3.683192</v>
      </c>
      <c r="F370" s="20" t="n">
        <v>3.637078</v>
      </c>
      <c r="G370" s="20" t="n">
        <v>3.673192</v>
      </c>
      <c r="H370" s="20" t="n">
        <v>3.680152</v>
      </c>
      <c r="I370" s="20" t="n">
        <v>3.682396</v>
      </c>
      <c r="J370" s="20" t="n">
        <v>3.66912</v>
      </c>
      <c r="K370" s="20" t="n">
        <v>3.797272</v>
      </c>
      <c r="L370" s="20" t="n">
        <v>3.866068</v>
      </c>
      <c r="M370" s="20" t="n">
        <v>3.888568</v>
      </c>
      <c r="N370" s="20" t="n">
        <v>3.715744</v>
      </c>
      <c r="O370" s="20" t="n">
        <v>3.734024</v>
      </c>
      <c r="P370" s="20" t="n">
        <v>3.78153</v>
      </c>
      <c r="Q370" s="20" t="n">
        <v>3.76449</v>
      </c>
      <c r="R370" s="20" t="n">
        <v>3.744596</v>
      </c>
      <c r="S370" s="20" t="n">
        <v>3.732376</v>
      </c>
      <c r="T370" s="23">
        <f>IFERROR(AVERAGE(D370:S370),"")</f>
        <v/>
      </c>
    </row>
    <row r="371">
      <c r="A371" s="22" t="n">
        <v>45985</v>
      </c>
      <c r="B371" s="22" t="n">
        <v>45989</v>
      </c>
      <c r="C371">
        <f>TEXT(A371,"yyyy-mm")</f>
        <v/>
      </c>
      <c r="D371" s="20" t="n">
        <v>3.403057</v>
      </c>
      <c r="E371" s="20" t="n">
        <v>3.452337</v>
      </c>
      <c r="F371" s="20" t="n">
        <v>3.406363</v>
      </c>
      <c r="G371" s="20" t="n">
        <v>3.442337</v>
      </c>
      <c r="H371" s="20" t="n">
        <v>3.449283</v>
      </c>
      <c r="I371" s="20" t="n">
        <v>3.451463</v>
      </c>
      <c r="J371" s="20" t="n">
        <v>3.439613</v>
      </c>
      <c r="K371" s="20" t="n">
        <v>3.567347</v>
      </c>
      <c r="L371" s="20" t="n">
        <v>3.636123</v>
      </c>
      <c r="M371" s="20" t="n">
        <v>3.658733</v>
      </c>
      <c r="N371" s="20" t="n">
        <v>3.485053</v>
      </c>
      <c r="O371" s="20" t="n">
        <v>3.503427</v>
      </c>
      <c r="P371" s="20" t="n">
        <v>3.55117</v>
      </c>
      <c r="Q371" s="20" t="n">
        <v>3.53404</v>
      </c>
      <c r="R371" s="20" t="n">
        <v>3.513973</v>
      </c>
      <c r="S371" s="20" t="n">
        <v>3.50318</v>
      </c>
      <c r="T371" s="23">
        <f>IFERROR(AVERAGE(D371:S371),"")</f>
        <v/>
      </c>
    </row>
    <row r="372">
      <c r="A372" s="22" t="n">
        <v>45992</v>
      </c>
      <c r="B372" s="22" t="n">
        <v>45996</v>
      </c>
      <c r="C372">
        <f>TEXT(A372,"yyyy-mm")</f>
        <v/>
      </c>
      <c r="D372" s="20" t="n">
        <v>3.223126</v>
      </c>
      <c r="E372" s="20" t="n">
        <v>3.269838</v>
      </c>
      <c r="F372" s="20" t="n">
        <v>3.224474</v>
      </c>
      <c r="G372" s="20" t="n">
        <v>3.259838</v>
      </c>
      <c r="H372" s="20" t="n">
        <v>3.26674</v>
      </c>
      <c r="I372" s="20" t="n">
        <v>3.268636</v>
      </c>
      <c r="J372" s="20" t="n">
        <v>3.256366</v>
      </c>
      <c r="K372" s="20" t="n">
        <v>3.384994</v>
      </c>
      <c r="L372" s="20" t="n">
        <v>3.45304</v>
      </c>
      <c r="M372" s="20" t="n">
        <v>3.475582</v>
      </c>
      <c r="N372" s="20" t="n">
        <v>3.302408</v>
      </c>
      <c r="O372" s="20" t="n">
        <v>3.320728</v>
      </c>
      <c r="P372" s="20" t="n">
        <v>3.36833</v>
      </c>
      <c r="Q372" s="20" t="n">
        <v>3.351254</v>
      </c>
      <c r="R372" s="20" t="n">
        <v>3.330962</v>
      </c>
      <c r="S372" s="20" t="n">
        <v>3.319748</v>
      </c>
      <c r="T372" s="23">
        <f>IFERROR(AVERAGE(D372:S372),"")</f>
        <v/>
      </c>
    </row>
    <row r="373">
      <c r="A373" s="22" t="n">
        <v>45999</v>
      </c>
      <c r="B373" s="22" t="n">
        <v>46003</v>
      </c>
      <c r="C373">
        <f>TEXT(A373,"yyyy-mm")</f>
        <v/>
      </c>
      <c r="D373" s="20" t="n">
        <v>3.193112</v>
      </c>
      <c r="E373" s="20" t="n">
        <v>3.235524</v>
      </c>
      <c r="F373" s="20" t="n">
        <v>3.190952</v>
      </c>
      <c r="G373" s="20" t="n">
        <v>3.225524</v>
      </c>
      <c r="H373" s="20" t="n">
        <v>3.232368</v>
      </c>
      <c r="I373" s="20" t="n">
        <v>3.23389</v>
      </c>
      <c r="J373" s="20" t="n">
        <v>3.221108</v>
      </c>
      <c r="K373" s="20" t="n">
        <v>3.353826</v>
      </c>
      <c r="L373" s="20" t="n">
        <v>3.421396</v>
      </c>
      <c r="M373" s="20" t="n">
        <v>3.444272</v>
      </c>
      <c r="N373" s="20" t="n">
        <v>3.268558</v>
      </c>
      <c r="O373" s="20" t="n">
        <v>3.287144</v>
      </c>
      <c r="P373" s="20" t="n">
        <v>3.335444</v>
      </c>
      <c r="Q373" s="20" t="n">
        <v>3.31812</v>
      </c>
      <c r="R373" s="20" t="n">
        <v>3.297132</v>
      </c>
      <c r="S373" s="20" t="n">
        <v>3.285422</v>
      </c>
      <c r="T373" s="23">
        <f>IFERROR(AVERAGE(D373:S373),"")</f>
        <v/>
      </c>
    </row>
    <row r="374">
      <c r="A374" s="22" t="n">
        <v>46006</v>
      </c>
      <c r="B374" s="22" t="n">
        <v>46010</v>
      </c>
      <c r="C374">
        <f>TEXT(A374,"yyyy-mm")</f>
        <v/>
      </c>
      <c r="D374" s="20" t="n">
        <v>3.05507</v>
      </c>
      <c r="E374" s="20" t="n">
        <v>3.095466</v>
      </c>
      <c r="F374" s="20" t="n">
        <v>3.05139</v>
      </c>
      <c r="G374" s="20" t="n">
        <v>3.085466</v>
      </c>
      <c r="H374" s="20" t="n">
        <v>3.092268</v>
      </c>
      <c r="I374" s="20" t="n">
        <v>3.093554</v>
      </c>
      <c r="J374" s="20" t="n">
        <v>3.081048</v>
      </c>
      <c r="K374" s="20" t="n">
        <v>3.21606</v>
      </c>
      <c r="L374" s="20" t="n">
        <v>3.283378</v>
      </c>
      <c r="M374" s="20" t="n">
        <v>3.306502</v>
      </c>
      <c r="N374" s="20" t="n">
        <v>3.128856</v>
      </c>
      <c r="O374" s="20" t="n">
        <v>3.14765</v>
      </c>
      <c r="P374" s="20" t="n">
        <v>3.19648</v>
      </c>
      <c r="Q374" s="20" t="n">
        <v>3.178962</v>
      </c>
      <c r="R374" s="20" t="n">
        <v>3.157492</v>
      </c>
      <c r="S374" s="20" t="n">
        <v>3.146068</v>
      </c>
      <c r="T374" s="23">
        <f>IFERROR(AVERAGE(D374:S374),"")</f>
        <v/>
      </c>
    </row>
    <row r="375">
      <c r="A375" s="22" t="n">
        <v>46013</v>
      </c>
      <c r="B375" s="22" t="n">
        <v>46017</v>
      </c>
      <c r="C375">
        <f>TEXT(A375,"yyyy-mm")</f>
        <v/>
      </c>
      <c r="D375" s="20" t="n">
        <v>3.086103</v>
      </c>
      <c r="E375" s="20" t="n">
        <v>3.11928</v>
      </c>
      <c r="F375" s="20" t="n">
        <v>3.07758</v>
      </c>
      <c r="G375" s="20" t="n">
        <v>3.10928</v>
      </c>
      <c r="H375" s="20" t="n">
        <v>3.11591</v>
      </c>
      <c r="I375" s="20" t="n">
        <v>3.116083</v>
      </c>
      <c r="J375" s="20" t="n">
        <v>3.104853</v>
      </c>
      <c r="K375" s="20" t="n">
        <v>3.243883</v>
      </c>
      <c r="L375" s="20" t="n">
        <v>3.308917</v>
      </c>
      <c r="M375" s="20" t="n">
        <v>3.332273</v>
      </c>
      <c r="N375" s="20" t="n">
        <v>3.152857</v>
      </c>
      <c r="O375" s="20" t="n">
        <v>3.17184</v>
      </c>
      <c r="P375" s="20" t="n">
        <v>3.221157</v>
      </c>
      <c r="Q375" s="20" t="n">
        <v>3.203467</v>
      </c>
      <c r="R375" s="20" t="n">
        <v>3.180657</v>
      </c>
      <c r="S375" s="20" t="n">
        <v>3.17052</v>
      </c>
      <c r="T375" s="23">
        <f>IFERROR(AVERAGE(D375:S375),"")</f>
        <v/>
      </c>
    </row>
    <row r="376">
      <c r="A376" s="22" t="n">
        <v>46020</v>
      </c>
      <c r="B376" s="22" t="n">
        <v>46024</v>
      </c>
      <c r="C376">
        <f>TEXT(A376,"yyyy-mm")</f>
        <v/>
      </c>
      <c r="D376" s="20" t="n">
        <v>3.055083</v>
      </c>
      <c r="E376" s="20" t="n">
        <v>3.08686</v>
      </c>
      <c r="F376" s="20" t="n">
        <v>3.04559</v>
      </c>
      <c r="G376" s="20" t="n">
        <v>3.07686</v>
      </c>
      <c r="H376" s="20" t="n">
        <v>3.083455</v>
      </c>
      <c r="I376" s="20" t="n">
        <v>3.083435</v>
      </c>
      <c r="J376" s="20" t="n">
        <v>3.071973</v>
      </c>
      <c r="K376" s="20" t="n">
        <v>3.210558</v>
      </c>
      <c r="L376" s="20" t="n">
        <v>3.274915</v>
      </c>
      <c r="M376" s="20" t="n">
        <v>3.298085</v>
      </c>
      <c r="N376" s="20" t="n">
        <v>3.120113</v>
      </c>
      <c r="O376" s="20" t="n">
        <v>3.138935</v>
      </c>
      <c r="P376" s="20" t="n">
        <v>3.187858</v>
      </c>
      <c r="Q376" s="20" t="n">
        <v>3.170313</v>
      </c>
      <c r="R376" s="20" t="n">
        <v>3.147483</v>
      </c>
      <c r="S376" s="20" t="n">
        <v>3.137113</v>
      </c>
      <c r="T376" s="23">
        <f>IFERROR(AVERAGE(D376:S376),"")</f>
        <v/>
      </c>
    </row>
    <row r="377">
      <c r="A377" s="22" t="n">
        <v>46027</v>
      </c>
      <c r="B377" s="22" t="n">
        <v>46031</v>
      </c>
      <c r="C377">
        <f>TEXT(A377,"yyyy-mm")</f>
        <v/>
      </c>
      <c r="D377" s="20" t="n">
        <v>2.970328</v>
      </c>
      <c r="E377" s="20" t="n">
        <v>3.01461</v>
      </c>
      <c r="F377" s="20" t="n">
        <v>2.970076</v>
      </c>
      <c r="G377" s="20" t="n">
        <v>3.00461</v>
      </c>
      <c r="H377" s="20" t="n">
        <v>3.011448</v>
      </c>
      <c r="I377" s="20" t="n">
        <v>3.012952</v>
      </c>
      <c r="J377" s="20" t="n">
        <v>3.001318</v>
      </c>
      <c r="K377" s="20" t="n">
        <v>3.131546</v>
      </c>
      <c r="L377" s="20" t="n">
        <v>3.198854</v>
      </c>
      <c r="M377" s="20" t="n">
        <v>3.22153</v>
      </c>
      <c r="N377" s="20" t="n">
        <v>3.047326</v>
      </c>
      <c r="O377" s="20" t="n">
        <v>3.065756</v>
      </c>
      <c r="P377" s="20" t="n">
        <v>3.113638</v>
      </c>
      <c r="Q377" s="20" t="n">
        <v>3.096462</v>
      </c>
      <c r="R377" s="20" t="n">
        <v>3.07565</v>
      </c>
      <c r="S377" s="20" t="n">
        <v>3.065076</v>
      </c>
      <c r="T377" s="23">
        <f>IFERROR(AVERAGE(D377:S377),"")</f>
        <v/>
      </c>
    </row>
    <row r="378">
      <c r="A378" s="22" t="n">
        <v>46034</v>
      </c>
      <c r="B378" s="22" t="n">
        <v>46038</v>
      </c>
      <c r="C378">
        <f>TEXT(A378,"yyyy-mm")</f>
        <v/>
      </c>
      <c r="D378" s="20" t="n">
        <v>3.092638</v>
      </c>
      <c r="E378" s="20" t="n">
        <v>3.139102</v>
      </c>
      <c r="F378" s="20" t="n">
        <v>3.093636</v>
      </c>
      <c r="G378" s="20" t="n">
        <v>3.129102</v>
      </c>
      <c r="H378" s="20" t="n">
        <v>3.136016</v>
      </c>
      <c r="I378" s="20" t="n">
        <v>3.137954</v>
      </c>
      <c r="J378" s="20" t="n">
        <v>3.125408</v>
      </c>
      <c r="K378" s="20" t="n">
        <v>3.254822</v>
      </c>
      <c r="L378" s="20" t="n">
        <v>3.323082</v>
      </c>
      <c r="M378" s="20" t="n">
        <v>3.345722</v>
      </c>
      <c r="N378" s="20" t="n">
        <v>3.171826</v>
      </c>
      <c r="O378" s="20" t="n">
        <v>3.19022</v>
      </c>
      <c r="P378" s="20" t="n">
        <v>3.23802</v>
      </c>
      <c r="Q378" s="20" t="n">
        <v>3.220876</v>
      </c>
      <c r="R378" s="20" t="n">
        <v>3.20054</v>
      </c>
      <c r="S378" s="20" t="n">
        <v>3.189052</v>
      </c>
      <c r="T378" s="23">
        <f>IFERROR(AVERAGE(D378:S378),"")</f>
        <v/>
      </c>
    </row>
    <row r="379">
      <c r="A379" s="22" t="n">
        <v>46041</v>
      </c>
      <c r="B379" s="22" t="n">
        <v>46045</v>
      </c>
      <c r="C379">
        <f>TEXT(A379,"yyyy-mm")</f>
        <v/>
      </c>
      <c r="D379" s="20" t="n">
        <v>3.157825</v>
      </c>
      <c r="E379" s="20" t="n">
        <v>3.19406</v>
      </c>
      <c r="F379" s="20" t="n">
        <v>3.152138</v>
      </c>
      <c r="G379" s="20" t="n">
        <v>3.18406</v>
      </c>
      <c r="H379" s="20" t="n">
        <v>3.1907</v>
      </c>
      <c r="I379" s="20" t="n">
        <v>3.190985</v>
      </c>
      <c r="J379" s="20" t="n">
        <v>3.179753</v>
      </c>
      <c r="K379" s="20" t="n">
        <v>3.311565</v>
      </c>
      <c r="L379" s="20" t="n">
        <v>3.375733</v>
      </c>
      <c r="M379" s="20" t="n">
        <v>3.398123</v>
      </c>
      <c r="N379" s="20" t="n">
        <v>3.226125</v>
      </c>
      <c r="O379" s="20" t="n">
        <v>3.24432</v>
      </c>
      <c r="P379" s="20" t="n">
        <v>3.291595</v>
      </c>
      <c r="Q379" s="20" t="n">
        <v>3.27464</v>
      </c>
      <c r="R379" s="20" t="n">
        <v>3.252885</v>
      </c>
      <c r="S379" s="20" t="n">
        <v>3.242705</v>
      </c>
      <c r="T379" s="23">
        <f>IFERROR(AVERAGE(D379:S379),"")</f>
        <v/>
      </c>
    </row>
    <row r="380">
      <c r="A380" s="22" t="n">
        <v>46048</v>
      </c>
      <c r="B380" s="22" t="n">
        <v>46052</v>
      </c>
      <c r="C380">
        <f>TEXT(A380,"yyyy-mm")</f>
        <v/>
      </c>
      <c r="D380" s="20" t="n">
        <v>3.22669</v>
      </c>
      <c r="E380" s="20" t="n">
        <v>3.274668</v>
      </c>
      <c r="F380" s="20" t="n">
        <v>3.229462</v>
      </c>
      <c r="G380" s="20" t="n">
        <v>3.264668</v>
      </c>
      <c r="H380" s="20" t="n">
        <v>3.27156</v>
      </c>
      <c r="I380" s="20" t="n">
        <v>3.27338</v>
      </c>
      <c r="J380" s="20" t="n">
        <v>3.261542</v>
      </c>
      <c r="K380" s="20" t="n">
        <v>3.386216</v>
      </c>
      <c r="L380" s="20" t="n">
        <v>3.453484</v>
      </c>
      <c r="M380" s="20" t="n">
        <v>3.475498</v>
      </c>
      <c r="N380" s="20" t="n">
        <v>3.306386</v>
      </c>
      <c r="O380" s="20" t="n">
        <v>3.324276</v>
      </c>
      <c r="P380" s="20" t="n">
        <v>3.37076</v>
      </c>
      <c r="Q380" s="20" t="n">
        <v>3.354086</v>
      </c>
      <c r="R380" s="20" t="n">
        <v>3.334244</v>
      </c>
      <c r="S380" s="20" t="n">
        <v>3.323434</v>
      </c>
      <c r="T380" s="23">
        <f>IFERROR(AVERAGE(D380:S380),"")</f>
        <v/>
      </c>
    </row>
    <row r="381">
      <c r="A381" s="22" t="n">
        <v>46055</v>
      </c>
      <c r="B381" s="22" t="n">
        <v>46059</v>
      </c>
      <c r="C381">
        <f>TEXT(A381,"yyyy-mm")</f>
        <v/>
      </c>
      <c r="D381" s="20" t="n">
        <v>3.284984</v>
      </c>
      <c r="E381" s="20" t="n">
        <v>3.366304</v>
      </c>
      <c r="F381" s="20" t="n">
        <v>3.311486</v>
      </c>
      <c r="G381" s="20" t="n">
        <v>3.356304</v>
      </c>
      <c r="H381" s="20" t="n">
        <v>3.363916</v>
      </c>
      <c r="I381" s="20" t="n">
        <v>3.370244</v>
      </c>
      <c r="J381" s="20" t="n">
        <v>3.357958</v>
      </c>
      <c r="K381" s="20" t="n">
        <v>3.468806</v>
      </c>
      <c r="L381" s="20" t="n">
        <v>3.546498</v>
      </c>
      <c r="M381" s="20" t="n">
        <v>3.568592</v>
      </c>
      <c r="N381" s="20" t="n">
        <v>3.39887</v>
      </c>
      <c r="O381" s="20" t="n">
        <v>3.416822</v>
      </c>
      <c r="P381" s="20" t="n">
        <v>3.463474</v>
      </c>
      <c r="Q381" s="20" t="n">
        <v>3.446744</v>
      </c>
      <c r="R381" s="20" t="n">
        <v>3.431324</v>
      </c>
      <c r="S381" s="20" t="n">
        <v>3.420076</v>
      </c>
      <c r="T381" s="23">
        <f>IFERROR(AVERAGE(D381:S381),"")</f>
        <v/>
      </c>
    </row>
    <row r="382">
      <c r="A382" s="22" t="n">
        <v>46062</v>
      </c>
      <c r="B382" s="22" t="n">
        <v>46066</v>
      </c>
      <c r="C382">
        <f>TEXT(A382,"yyyy-mm")</f>
        <v/>
      </c>
      <c r="D382" s="20" t="n">
        <v>3.180824</v>
      </c>
      <c r="E382" s="20" t="n">
        <v>3.253596</v>
      </c>
      <c r="F382" s="20" t="n">
        <v>3.201398</v>
      </c>
      <c r="G382" s="20" t="n">
        <v>3.243596</v>
      </c>
      <c r="H382" s="20" t="n">
        <v>3.251008</v>
      </c>
      <c r="I382" s="20" t="n">
        <v>3.25611</v>
      </c>
      <c r="J382" s="20" t="n">
        <v>3.244072</v>
      </c>
      <c r="K382" s="20" t="n">
        <v>3.357418</v>
      </c>
      <c r="L382" s="20" t="n">
        <v>3.432086</v>
      </c>
      <c r="M382" s="20" t="n">
        <v>3.453994</v>
      </c>
      <c r="N382" s="20" t="n">
        <v>3.285676</v>
      </c>
      <c r="O382" s="20" t="n">
        <v>3.303484</v>
      </c>
      <c r="P382" s="20" t="n">
        <v>3.349748</v>
      </c>
      <c r="Q382" s="20" t="n">
        <v>3.333154</v>
      </c>
      <c r="R382" s="20" t="n">
        <v>3.316688</v>
      </c>
      <c r="S382" s="20" t="n">
        <v>3.305676</v>
      </c>
      <c r="T382" s="23">
        <f>IFERROR(AVERAGE(D382:S382),"")</f>
        <v/>
      </c>
    </row>
    <row r="383">
      <c r="A383" s="22" t="n">
        <v>46069</v>
      </c>
      <c r="B383" s="22" t="n">
        <v>46073</v>
      </c>
      <c r="C383">
        <f>TEXT(A383,"yyyy-mm")</f>
        <v/>
      </c>
      <c r="D383" s="20" t="n">
        <v>3.249378</v>
      </c>
      <c r="E383" s="20" t="n">
        <v>3.315435</v>
      </c>
      <c r="F383" s="20" t="n">
        <v>3.264825</v>
      </c>
      <c r="G383" s="20" t="n">
        <v>3.305435</v>
      </c>
      <c r="H383" s="20" t="n">
        <v>3.312728</v>
      </c>
      <c r="I383" s="20" t="n">
        <v>3.317085</v>
      </c>
      <c r="J383" s="20" t="n">
        <v>3.30434</v>
      </c>
      <c r="K383" s="20" t="n">
        <v>3.421278</v>
      </c>
      <c r="L383" s="20" t="n">
        <v>3.49431</v>
      </c>
      <c r="M383" s="20" t="n">
        <v>3.51628</v>
      </c>
      <c r="N383" s="20" t="n">
        <v>3.347493</v>
      </c>
      <c r="O383" s="20" t="n">
        <v>3.365345</v>
      </c>
      <c r="P383" s="20" t="n">
        <v>3.411743</v>
      </c>
      <c r="Q383" s="20" t="n">
        <v>3.395105</v>
      </c>
      <c r="R383" s="20" t="n">
        <v>3.377833</v>
      </c>
      <c r="S383" s="20" t="n">
        <v>3.366115</v>
      </c>
      <c r="T383" s="23">
        <f>IFERROR(AVERAGE(D383:S383),"")</f>
        <v/>
      </c>
    </row>
    <row r="384">
      <c r="A384" s="22" t="n">
        <v>46076</v>
      </c>
      <c r="B384" s="22" t="n">
        <v>46080</v>
      </c>
      <c r="C384">
        <f>TEXT(A384,"yyyy-mm")</f>
        <v/>
      </c>
      <c r="D384" s="20" t="n">
        <v>3.362668</v>
      </c>
      <c r="E384" s="20" t="n">
        <v>3.436346</v>
      </c>
      <c r="F384" s="20" t="n">
        <v>3.383516</v>
      </c>
      <c r="G384" s="20" t="n">
        <v>3.426346</v>
      </c>
      <c r="H384" s="20" t="n">
        <v>3.433806</v>
      </c>
      <c r="I384" s="20" t="n">
        <v>3.439202</v>
      </c>
      <c r="J384" s="20" t="n">
        <v>3.425728</v>
      </c>
      <c r="K384" s="20" t="n">
        <v>3.537792</v>
      </c>
      <c r="L384" s="20" t="n">
        <v>3.612862</v>
      </c>
      <c r="M384" s="20" t="n">
        <v>3.634528</v>
      </c>
      <c r="N384" s="20" t="n">
        <v>3.468086</v>
      </c>
      <c r="O384" s="20" t="n">
        <v>3.485694</v>
      </c>
      <c r="P384" s="20" t="n">
        <v>3.531444</v>
      </c>
      <c r="Q384" s="20" t="n">
        <v>3.515034</v>
      </c>
      <c r="R384" s="20" t="n">
        <v>3.499106</v>
      </c>
      <c r="S384" s="20" t="n">
        <v>3.486644</v>
      </c>
      <c r="T384" s="23">
        <f>IFERROR(AVERAGE(D384:S384),"")</f>
        <v/>
      </c>
    </row>
    <row r="385">
      <c r="A385" s="22" t="n">
        <v>46083</v>
      </c>
      <c r="B385" s="22" t="n">
        <v>46087</v>
      </c>
      <c r="C385">
        <f>TEXT(A385,"yyyy-mm")</f>
        <v/>
      </c>
      <c r="D385" s="20" t="n">
        <v>4.471640000000001</v>
      </c>
      <c r="E385" s="20" t="n">
        <v>4.603382</v>
      </c>
      <c r="F385" s="20" t="n">
        <v>4.535412</v>
      </c>
      <c r="G385" s="20" t="n">
        <v>4.593381999999999</v>
      </c>
      <c r="H385" s="20" t="n">
        <v>4.601976</v>
      </c>
      <c r="I385" s="20" t="n">
        <v>4.614472</v>
      </c>
      <c r="J385" s="20" t="n">
        <v>4.604932</v>
      </c>
      <c r="K385" s="20" t="n">
        <v>4.692456</v>
      </c>
      <c r="L385" s="20" t="n">
        <v>4.784236</v>
      </c>
      <c r="M385" s="20" t="n">
        <v>4.806292</v>
      </c>
      <c r="N385" s="20" t="n">
        <v>4.636868000000001</v>
      </c>
      <c r="O385" s="20" t="n">
        <v>4.654792</v>
      </c>
      <c r="P385" s="20" t="n">
        <v>4.701359999999999</v>
      </c>
      <c r="Q385" s="20" t="n">
        <v>4.684658000000001</v>
      </c>
      <c r="R385" s="20" t="n">
        <v>4.675446</v>
      </c>
      <c r="S385" s="20" t="n">
        <v>4.666939999999999</v>
      </c>
      <c r="T385" s="23">
        <f>IFERROR(AVERAGE(D385:S385),"")</f>
        <v/>
      </c>
    </row>
    <row r="386">
      <c r="A386" s="22" t="n">
        <v>46090</v>
      </c>
      <c r="B386" s="22" t="n">
        <v>46094</v>
      </c>
      <c r="C386">
        <f>TEXT(A386,"yyyy-mm")</f>
        <v/>
      </c>
      <c r="D386" s="20" t="n">
        <v>5.136284</v>
      </c>
      <c r="E386" s="20" t="n">
        <v>5.278782000000001</v>
      </c>
      <c r="F386" s="20" t="n">
        <v>5.206582</v>
      </c>
      <c r="G386" s="20" t="n">
        <v>5.268782</v>
      </c>
      <c r="H386" s="20" t="n">
        <v>5.277694</v>
      </c>
      <c r="I386" s="20" t="n">
        <v>5.292174</v>
      </c>
      <c r="J386" s="20" t="n">
        <v>5.27934</v>
      </c>
      <c r="K386" s="20" t="n">
        <v>5.363294</v>
      </c>
      <c r="L386" s="20" t="n">
        <v>5.459572000000001</v>
      </c>
      <c r="M386" s="20" t="n">
        <v>5.48158</v>
      </c>
      <c r="N386" s="20" t="n">
        <v>5.312516</v>
      </c>
      <c r="O386" s="20" t="n">
        <v>5.3304</v>
      </c>
      <c r="P386" s="20" t="n">
        <v>5.376874</v>
      </c>
      <c r="Q386" s="20" t="n">
        <v>5.3602</v>
      </c>
      <c r="R386" s="20" t="n">
        <v>5.353022</v>
      </c>
      <c r="S386" s="20" t="n">
        <v>5.341222</v>
      </c>
      <c r="T386" s="23">
        <f>IFERROR(AVERAGE(D386:S386),"")</f>
        <v/>
      </c>
    </row>
    <row r="387">
      <c r="A387" s="22" t="n">
        <v>46097</v>
      </c>
      <c r="B387" s="22" t="n">
        <v>46101</v>
      </c>
      <c r="C387">
        <f>TEXT(A387,"yyyy-mm")</f>
        <v/>
      </c>
      <c r="D387" s="20" t="n">
        <v>5.803716000000001</v>
      </c>
      <c r="E387" s="20" t="n">
        <v>5.967957999999999</v>
      </c>
      <c r="F387" s="20" t="n">
        <v>5.890468</v>
      </c>
      <c r="G387" s="20" t="n">
        <v>5.957958</v>
      </c>
      <c r="H387" s="20" t="n">
        <v>5.967266</v>
      </c>
      <c r="I387" s="20" t="n">
        <v>5.984226</v>
      </c>
      <c r="J387" s="20" t="n">
        <v>5.973704</v>
      </c>
      <c r="K387" s="20" t="n">
        <v>6.047528000000001</v>
      </c>
      <c r="L387" s="20" t="n">
        <v>6.149547999999999</v>
      </c>
      <c r="M387" s="20" t="n">
        <v>6.171608</v>
      </c>
      <c r="N387" s="20" t="n">
        <v>6.002162</v>
      </c>
      <c r="O387" s="20" t="n">
        <v>6.020087999999999</v>
      </c>
      <c r="P387" s="20" t="n">
        <v>6.066663999999999</v>
      </c>
      <c r="Q387" s="20" t="n">
        <v>6.049957999999999</v>
      </c>
      <c r="R387" s="20" t="n">
        <v>6.045206</v>
      </c>
      <c r="S387" s="20" t="n">
        <v>6.035722</v>
      </c>
      <c r="T387" s="23">
        <f>IFERROR(AVERAGE(D387:S387),"")</f>
        <v/>
      </c>
    </row>
    <row r="388">
      <c r="A388" s="22" t="n">
        <v>46104</v>
      </c>
      <c r="B388" s="22" t="n">
        <v>46108</v>
      </c>
      <c r="C388">
        <f>TEXT(A388,"yyyy-mm")</f>
        <v/>
      </c>
      <c r="D388" s="20" t="n">
        <v>5.969390000000001</v>
      </c>
      <c r="E388" s="20" t="n">
        <v>6.159368000000001</v>
      </c>
      <c r="F388" s="20" t="n">
        <v>6.072634</v>
      </c>
      <c r="G388" s="20" t="n">
        <v>6.149368000000001</v>
      </c>
      <c r="H388" s="20" t="n">
        <v>6.159368000000001</v>
      </c>
      <c r="I388" s="20" t="n">
        <v>6.180666</v>
      </c>
      <c r="J388" s="20" t="n">
        <v>6.164922</v>
      </c>
      <c r="K388" s="20" t="n">
        <v>6.230092</v>
      </c>
      <c r="L388" s="20" t="n">
        <v>6.34212</v>
      </c>
      <c r="M388" s="20" t="n">
        <v>6.364232</v>
      </c>
      <c r="N388" s="20" t="n">
        <v>6.194356</v>
      </c>
      <c r="O388" s="20" t="n">
        <v>6.212326</v>
      </c>
      <c r="P388" s="20" t="n">
        <v>6.25902</v>
      </c>
      <c r="Q388" s="20" t="n">
        <v>6.24227</v>
      </c>
      <c r="R388" s="20" t="n">
        <v>6.241804</v>
      </c>
      <c r="S388" s="20" t="n">
        <v>6.227098</v>
      </c>
      <c r="T388" s="23">
        <f>IFERROR(AVERAGE(D388:S388),"")</f>
        <v/>
      </c>
    </row>
    <row r="389">
      <c r="A389" s="22" t="n">
        <v>46111</v>
      </c>
      <c r="B389" s="22" t="n">
        <v>46115</v>
      </c>
      <c r="C389">
        <f>TEXT(A389,"yyyy-mm")</f>
        <v/>
      </c>
      <c r="D389" s="20" t="n">
        <v>6.15451</v>
      </c>
      <c r="E389" s="20" t="n">
        <v>6.318779999999999</v>
      </c>
      <c r="F389" s="20" t="n">
        <v>6.239198</v>
      </c>
      <c r="G389" s="20" t="n">
        <v>6.30878</v>
      </c>
      <c r="H389" s="20" t="n">
        <v>6.318245</v>
      </c>
      <c r="I389" s="20" t="n">
        <v>6.336185</v>
      </c>
      <c r="J389" s="20" t="n">
        <v>6.319783</v>
      </c>
      <c r="K389" s="20" t="n">
        <v>6.394978</v>
      </c>
      <c r="L389" s="20" t="n">
        <v>6.499042999999999</v>
      </c>
      <c r="M389" s="20" t="n">
        <v>6.52092</v>
      </c>
      <c r="N389" s="20" t="n">
        <v>6.35286</v>
      </c>
      <c r="O389" s="20" t="n">
        <v>6.370638</v>
      </c>
      <c r="P389" s="20" t="n">
        <v>6.41683</v>
      </c>
      <c r="Q389" s="20" t="n">
        <v>6.400263</v>
      </c>
      <c r="R389" s="20" t="n">
        <v>6.39667</v>
      </c>
      <c r="S389" s="20" t="n">
        <v>6.381292999999999</v>
      </c>
      <c r="T389" s="23">
        <f>IFERROR(AVERAGE(D389:S389),"")</f>
        <v/>
      </c>
    </row>
    <row r="390">
      <c r="A390" s="22" t="n">
        <v>46118</v>
      </c>
      <c r="B390" s="22" t="n">
        <v>46122</v>
      </c>
      <c r="C390">
        <f>TEXT(A390,"yyyy-mm")</f>
        <v/>
      </c>
      <c r="D390" s="20" t="n">
        <v>6.254416</v>
      </c>
      <c r="E390" s="20" t="n">
        <v>6.357956</v>
      </c>
      <c r="F390" s="20" t="n">
        <v>6.26822</v>
      </c>
      <c r="G390" s="20" t="n">
        <v>6.347956</v>
      </c>
      <c r="H390" s="20" t="n">
        <v>6.358182</v>
      </c>
      <c r="I390" s="20" t="n">
        <v>6.380886</v>
      </c>
      <c r="J390" s="20" t="n">
        <v>6.366105999999999</v>
      </c>
      <c r="K390" s="20" t="n">
        <v>6.421358000000001</v>
      </c>
      <c r="L390" s="20" t="n">
        <v>6.535912000000001</v>
      </c>
      <c r="M390" s="20" t="n">
        <v>6.55742</v>
      </c>
      <c r="N390" s="20" t="n">
        <v>6.392207999999999</v>
      </c>
      <c r="O390" s="20" t="n">
        <v>6.409686</v>
      </c>
      <c r="P390" s="20" t="n">
        <v>6.455095999999999</v>
      </c>
      <c r="Q390" s="20" t="n">
        <v>6.438808</v>
      </c>
      <c r="R390" s="20" t="n">
        <v>6.440346</v>
      </c>
      <c r="S390" s="20" t="n">
        <v>6.426576</v>
      </c>
      <c r="T390" s="23">
        <f>IFERROR(AVERAGE(D390:S390),"")</f>
        <v/>
      </c>
    </row>
    <row r="391">
      <c r="A391" s="22" t="n">
        <v>46125</v>
      </c>
      <c r="B391" s="22" t="n">
        <v>46129</v>
      </c>
      <c r="C391">
        <f>TEXT(A391,"yyyy-mm")</f>
        <v/>
      </c>
      <c r="D391" s="20" t="n">
        <v>5.610982</v>
      </c>
      <c r="E391" s="20" t="n">
        <v>5.527489999999999</v>
      </c>
      <c r="F391" s="20" t="n">
        <v>5.436986</v>
      </c>
      <c r="G391" s="20" t="n">
        <v>5.51749</v>
      </c>
      <c r="H391" s="20" t="n">
        <v>5.527774</v>
      </c>
      <c r="I391" s="20" t="n">
        <v>5.550834</v>
      </c>
      <c r="J391" s="20" t="n">
        <v>5.539928</v>
      </c>
      <c r="K391" s="20" t="n">
        <v>5.58684</v>
      </c>
      <c r="L391" s="20" t="n">
        <v>5.701688</v>
      </c>
      <c r="M391" s="20" t="n">
        <v>5.722734</v>
      </c>
      <c r="N391" s="20" t="n">
        <v>5.561065999999999</v>
      </c>
      <c r="O391" s="20" t="n">
        <v>5.57817</v>
      </c>
      <c r="P391" s="20" t="n">
        <v>5.62261</v>
      </c>
      <c r="Q391" s="20" t="n">
        <v>5.606668</v>
      </c>
      <c r="R391" s="20" t="n">
        <v>5.609016</v>
      </c>
      <c r="S391" s="20" t="n">
        <v>5.599098</v>
      </c>
      <c r="T391" s="23">
        <f>IFERROR(AVERAGE(D391:S391),"")</f>
        <v/>
      </c>
    </row>
    <row r="392">
      <c r="A392" s="22" t="n">
        <v>46132</v>
      </c>
      <c r="B392" s="22" t="n">
        <v>46136</v>
      </c>
      <c r="C392">
        <f>TEXT(A392,"yyyy-mm")</f>
        <v/>
      </c>
      <c r="D392" s="20" t="n">
        <v>5.389904</v>
      </c>
      <c r="E392" s="20" t="n">
        <v>5.32208</v>
      </c>
      <c r="F392" s="20" t="n">
        <v>5.245533999999999</v>
      </c>
      <c r="G392" s="20" t="n">
        <v>5.31208</v>
      </c>
      <c r="H392" s="20" t="n">
        <v>5.321318</v>
      </c>
      <c r="I392" s="20" t="n">
        <v>5.337834</v>
      </c>
      <c r="J392" s="20" t="n">
        <v>5.320548</v>
      </c>
      <c r="K392" s="20" t="n">
        <v>5.395178</v>
      </c>
      <c r="L392" s="20" t="n">
        <v>5.494993999999999</v>
      </c>
      <c r="M392" s="20" t="n">
        <v>5.516008</v>
      </c>
      <c r="N392" s="20" t="n">
        <v>5.35457</v>
      </c>
      <c r="O392" s="20" t="n">
        <v>5.371646</v>
      </c>
      <c r="P392" s="20" t="n">
        <v>5.416024</v>
      </c>
      <c r="Q392" s="20" t="n">
        <v>5.400106</v>
      </c>
      <c r="R392" s="20" t="n">
        <v>5.39594</v>
      </c>
      <c r="S392" s="20" t="n">
        <v>5.379636000000001</v>
      </c>
      <c r="T392" s="23">
        <f>IFERROR(AVERAGE(D392:S392),"")</f>
        <v/>
      </c>
    </row>
    <row r="393">
      <c r="A393" s="22" t="n">
        <v>46139</v>
      </c>
      <c r="B393" s="22" t="n">
        <v>46143</v>
      </c>
      <c r="C393">
        <f>TEXT(A393,"yyyy-mm")</f>
        <v/>
      </c>
      <c r="D393" s="20" t="n">
        <v>5.748189999999999</v>
      </c>
      <c r="E393" s="20" t="n">
        <v>5.681714</v>
      </c>
      <c r="F393" s="20" t="n">
        <v>5.60763</v>
      </c>
      <c r="G393" s="20" t="n">
        <v>5.671714</v>
      </c>
      <c r="H393" s="20" t="n">
        <v>5.680768</v>
      </c>
      <c r="I393" s="20" t="n">
        <v>5.69613</v>
      </c>
      <c r="J393" s="20" t="n">
        <v>5.67977</v>
      </c>
      <c r="K393" s="20" t="n">
        <v>5.757356</v>
      </c>
      <c r="L393" s="20" t="n">
        <v>5.854538</v>
      </c>
      <c r="M393" s="20" t="n">
        <v>5.875564000000001</v>
      </c>
      <c r="N393" s="20" t="n">
        <v>5.714034</v>
      </c>
      <c r="O393" s="20" t="n">
        <v>5.731122</v>
      </c>
      <c r="P393" s="20" t="n">
        <v>5.775524000000001</v>
      </c>
      <c r="Q393" s="20" t="n">
        <v>5.759595999999999</v>
      </c>
      <c r="R393" s="20" t="n">
        <v>5.754262</v>
      </c>
      <c r="S393" s="20" t="n">
        <v>5.73889</v>
      </c>
      <c r="T393" s="23">
        <f>IFERROR(AVERAGE(D393:S393),"")</f>
        <v/>
      </c>
    </row>
    <row r="394">
      <c r="A394" s="22" t="n">
        <v>46146</v>
      </c>
      <c r="B394" s="22" t="n">
        <v>46150</v>
      </c>
      <c r="C394">
        <f>TEXT(A394,"yyyy-mm")</f>
        <v/>
      </c>
      <c r="D394" s="20" t="n">
        <v>5.431381999999999</v>
      </c>
      <c r="E394" s="20" t="n">
        <v>5.37961</v>
      </c>
      <c r="F394" s="20" t="n">
        <v>5.321936</v>
      </c>
      <c r="G394" s="20" t="n">
        <v>5.36961</v>
      </c>
      <c r="H394" s="20" t="n">
        <v>5.377434</v>
      </c>
      <c r="I394" s="20" t="n">
        <v>5.385104</v>
      </c>
      <c r="J394" s="20" t="n">
        <v>5.36748</v>
      </c>
      <c r="K394" s="20" t="n">
        <v>5.47009</v>
      </c>
      <c r="L394" s="20" t="n">
        <v>5.549378</v>
      </c>
      <c r="M394" s="20" t="n">
        <v>5.570186</v>
      </c>
      <c r="N394" s="20" t="n">
        <v>5.410352</v>
      </c>
      <c r="O394" s="20" t="n">
        <v>5.42726</v>
      </c>
      <c r="P394" s="20" t="n">
        <v>5.471194000000001</v>
      </c>
      <c r="Q394" s="20" t="n">
        <v>5.455434</v>
      </c>
      <c r="R394" s="20" t="n">
        <v>5.442628</v>
      </c>
      <c r="S394" s="20" t="n">
        <v>5.425978</v>
      </c>
      <c r="T394" s="23">
        <f>IFERROR(AVERAGE(D394:S394),"")</f>
        <v/>
      </c>
    </row>
    <row r="395">
      <c r="A395" s="22" t="n">
        <v>46153</v>
      </c>
      <c r="B395" s="22" t="n">
        <v>46157</v>
      </c>
      <c r="C395">
        <f>TEXT(A395,"yyyy-mm")</f>
        <v/>
      </c>
      <c r="D395" s="20" t="n">
        <v>5.315568</v>
      </c>
      <c r="E395" s="20" t="n">
        <v>5.272656</v>
      </c>
      <c r="F395" s="20" t="n">
        <v>5.230011999999999</v>
      </c>
      <c r="G395" s="20" t="n">
        <v>5.262656</v>
      </c>
      <c r="H395" s="20" t="n">
        <v>5.269352</v>
      </c>
      <c r="I395" s="20" t="n">
        <v>5.269972</v>
      </c>
      <c r="J395" s="20" t="n">
        <v>5.256746</v>
      </c>
      <c r="K395" s="20" t="n">
        <v>5.379458</v>
      </c>
      <c r="L395" s="20" t="n">
        <v>5.442798</v>
      </c>
      <c r="M395" s="20" t="n">
        <v>5.463786</v>
      </c>
      <c r="N395" s="20" t="n">
        <v>5.302558</v>
      </c>
      <c r="O395" s="20" t="n">
        <v>5.319612</v>
      </c>
      <c r="P395" s="20" t="n">
        <v>5.363932</v>
      </c>
      <c r="Q395" s="20" t="n">
        <v>5.348036</v>
      </c>
      <c r="R395" s="20" t="n">
        <v>5.327996</v>
      </c>
      <c r="S395" s="20" t="n">
        <v>5.315758</v>
      </c>
      <c r="T395" s="23">
        <f>IFERROR(AVERAGE(D395:S395),"")</f>
        <v/>
      </c>
    </row>
    <row r="396">
      <c r="A396" s="22" t="n">
        <v>46160</v>
      </c>
      <c r="B396" s="22" t="n">
        <v>46164</v>
      </c>
      <c r="C396">
        <f>TEXT(A396,"yyyy-mm")</f>
        <v/>
      </c>
      <c r="D396" s="20" t="n">
        <v>5.320032</v>
      </c>
      <c r="E396" s="20" t="n">
        <v>5.277226</v>
      </c>
      <c r="F396" s="20" t="n">
        <v>5.235554</v>
      </c>
      <c r="G396" s="20" t="n">
        <v>5.267226</v>
      </c>
      <c r="H396" s="20" t="n">
        <v>5.273848</v>
      </c>
      <c r="I396" s="20" t="n">
        <v>5.274012</v>
      </c>
      <c r="J396" s="20" t="n">
        <v>5.261168</v>
      </c>
      <c r="K396" s="20" t="n">
        <v>5.386296000000001</v>
      </c>
      <c r="L396" s="20" t="n">
        <v>5.448798</v>
      </c>
      <c r="M396" s="20" t="n">
        <v>5.469968</v>
      </c>
      <c r="N396" s="20" t="n">
        <v>5.307341999999999</v>
      </c>
      <c r="O396" s="20" t="n">
        <v>5.324546000000001</v>
      </c>
      <c r="P396" s="20" t="n">
        <v>5.369248</v>
      </c>
      <c r="Q396" s="20" t="n">
        <v>5.353214</v>
      </c>
      <c r="R396" s="20" t="n">
        <v>5.332542</v>
      </c>
      <c r="S396" s="20" t="n">
        <v>5.320688000000001</v>
      </c>
      <c r="T396" s="23">
        <f>IFERROR(AVERAGE(D396:S396),"")</f>
        <v/>
      </c>
    </row>
    <row r="397">
      <c r="A397" s="22" t="n">
        <v>46167</v>
      </c>
      <c r="B397" s="22" t="n">
        <v>46171</v>
      </c>
      <c r="C397">
        <f>TEXT(A397,"yyyy-mm")</f>
        <v/>
      </c>
      <c r="D397" s="20" t="n">
        <v>4.912865</v>
      </c>
      <c r="E397" s="20" t="n">
        <v>4.86663</v>
      </c>
      <c r="F397" s="20" t="n">
        <v>4.820205</v>
      </c>
      <c r="G397" s="20" t="n">
        <v>4.85663</v>
      </c>
      <c r="H397" s="20" t="n">
        <v>4.86361</v>
      </c>
      <c r="I397" s="20" t="n">
        <v>4.866005</v>
      </c>
      <c r="J397" s="20" t="n">
        <v>4.852118000000001</v>
      </c>
      <c r="K397" s="20" t="n">
        <v>4.971733</v>
      </c>
      <c r="L397" s="20" t="n">
        <v>5.039475</v>
      </c>
      <c r="M397" s="20" t="n">
        <v>5.060758</v>
      </c>
      <c r="N397" s="20" t="n">
        <v>4.897278</v>
      </c>
      <c r="O397" s="20" t="n">
        <v>4.914573000000001</v>
      </c>
      <c r="P397" s="20" t="n">
        <v>4.95951</v>
      </c>
      <c r="Q397" s="20" t="n">
        <v>4.943393</v>
      </c>
      <c r="R397" s="20" t="n">
        <v>4.924840000000001</v>
      </c>
      <c r="S397" s="20" t="n">
        <v>4.911953</v>
      </c>
      <c r="T397" s="23">
        <f>IFERROR(AVERAGE(D397:S397),"")</f>
        <v/>
      </c>
    </row>
    <row r="398">
      <c r="A398" s="22" t="n">
        <v>46174</v>
      </c>
      <c r="B398" s="22" t="n">
        <v>46178</v>
      </c>
      <c r="C398">
        <f>TEXT(A398,"yyyy-mm")</f>
        <v/>
      </c>
      <c r="D398" s="20" t="n">
        <v>5.043276</v>
      </c>
      <c r="E398" s="20" t="n">
        <v>4.99172</v>
      </c>
      <c r="F398" s="20" t="n">
        <v>4.93704</v>
      </c>
      <c r="G398" s="20" t="n">
        <v>4.98172</v>
      </c>
      <c r="H398" s="20" t="n">
        <v>4.989318</v>
      </c>
      <c r="I398" s="20" t="n">
        <v>4.995582000000001</v>
      </c>
      <c r="J398" s="20" t="n">
        <v>4.979264</v>
      </c>
      <c r="K398" s="20" t="n">
        <v>5.089256000000001</v>
      </c>
      <c r="L398" s="20" t="n">
        <v>5.165978</v>
      </c>
      <c r="M398" s="20" t="n">
        <v>5.18736</v>
      </c>
      <c r="N398" s="20" t="n">
        <v>5.023140000000001</v>
      </c>
      <c r="O398" s="20" t="n">
        <v>5.040512</v>
      </c>
      <c r="P398" s="20" t="n">
        <v>5.085652</v>
      </c>
      <c r="Q398" s="20" t="n">
        <v>5.06946</v>
      </c>
      <c r="R398" s="20" t="n">
        <v>5.054682</v>
      </c>
      <c r="S398" s="20" t="n">
        <v>5.039368000000001</v>
      </c>
      <c r="T398" s="23">
        <f>IFERROR(AVERAGE(D398:S398),"")</f>
        <v/>
      </c>
    </row>
    <row r="399">
      <c r="A399" s="22" t="n">
        <v>46181</v>
      </c>
      <c r="B399" s="22" t="n">
        <v>46185</v>
      </c>
      <c r="C399">
        <f>TEXT(A399,"yyyy-mm")</f>
        <v/>
      </c>
      <c r="D399" s="20" t="n">
        <v>4.940714</v>
      </c>
      <c r="E399" s="20" t="n">
        <v>4.886918</v>
      </c>
      <c r="F399" s="20" t="n">
        <v>4.830037999999999</v>
      </c>
      <c r="G399" s="20" t="n">
        <v>4.876918</v>
      </c>
      <c r="H399" s="20" t="n">
        <v>4.88468</v>
      </c>
      <c r="I399" s="20" t="n">
        <v>4.891974</v>
      </c>
      <c r="J399" s="20" t="n">
        <v>4.875152</v>
      </c>
      <c r="K399" s="20" t="n">
        <v>4.984649999999999</v>
      </c>
      <c r="L399" s="20" t="n">
        <v>5.064118000000001</v>
      </c>
      <c r="M399" s="20" t="n">
        <v>5.085832</v>
      </c>
      <c r="N399" s="20" t="n">
        <v>4.919032000000001</v>
      </c>
      <c r="O399" s="20" t="n">
        <v>4.936678</v>
      </c>
      <c r="P399" s="20" t="n">
        <v>4.982528</v>
      </c>
      <c r="Q399" s="20" t="n">
        <v>4.966082</v>
      </c>
      <c r="R399" s="20" t="n">
        <v>4.952002</v>
      </c>
      <c r="S399" s="20" t="n">
        <v>4.936202000000001</v>
      </c>
      <c r="T399" s="23">
        <f>IFERROR(AVERAGE(D399:S399),"")</f>
        <v/>
      </c>
    </row>
    <row r="400">
      <c r="A400" s="22" t="n">
        <v>46188</v>
      </c>
      <c r="B400" s="22" t="n">
        <v>46192</v>
      </c>
      <c r="C400">
        <f>TEXT(A400,"yyyy-mm")</f>
        <v/>
      </c>
      <c r="D400" s="20" t="n">
        <v>4.372212999999999</v>
      </c>
      <c r="E400" s="20" t="n">
        <v>4.326115</v>
      </c>
      <c r="F400" s="20" t="n">
        <v>4.27979</v>
      </c>
      <c r="G400" s="20" t="n">
        <v>4.316115</v>
      </c>
      <c r="H400" s="20" t="n">
        <v>4.323090000000001</v>
      </c>
      <c r="I400" s="20" t="n">
        <v>4.325435000000001</v>
      </c>
      <c r="J400" s="20" t="n">
        <v>4.31051</v>
      </c>
      <c r="K400" s="20" t="n">
        <v>4.433243</v>
      </c>
      <c r="L400" s="20" t="n">
        <v>4.501185</v>
      </c>
      <c r="M400" s="20" t="n">
        <v>4.522738</v>
      </c>
      <c r="N400" s="20" t="n">
        <v>4.357188</v>
      </c>
      <c r="O400" s="20" t="n">
        <v>4.374698</v>
      </c>
      <c r="P400" s="20" t="n">
        <v>4.420205</v>
      </c>
      <c r="Q400" s="20" t="n">
        <v>4.403883</v>
      </c>
      <c r="R400" s="20" t="n">
        <v>4.385020000000001</v>
      </c>
      <c r="S400" s="20" t="n">
        <v>4.3711</v>
      </c>
      <c r="T400" s="23">
        <f>IFERROR(AVERAGE(D400:S400),"")</f>
        <v/>
      </c>
    </row>
    <row r="401">
      <c r="A401" s="22" t="n">
        <v>46195</v>
      </c>
      <c r="B401" s="22" t="n">
        <v>46199</v>
      </c>
      <c r="C401">
        <f>TEXT(A401,"yyyy-mm")</f>
        <v/>
      </c>
      <c r="D401" s="20" t="n">
        <v>4.218434</v>
      </c>
      <c r="E401" s="20" t="n">
        <v>4.173704</v>
      </c>
      <c r="F401" s="20" t="n">
        <v>4.131877999999999</v>
      </c>
      <c r="G401" s="20" t="n">
        <v>4.163704</v>
      </c>
      <c r="H401" s="20" t="n">
        <v>4.17034</v>
      </c>
      <c r="I401" s="20" t="n">
        <v>4.170573999999999</v>
      </c>
      <c r="J401" s="20" t="n">
        <v>4.158006</v>
      </c>
      <c r="K401" s="20" t="n">
        <v>4.287544</v>
      </c>
      <c r="L401" s="20" t="n">
        <v>4.351004</v>
      </c>
      <c r="M401" s="20" t="n">
        <v>4.372866</v>
      </c>
      <c r="N401" s="20" t="n">
        <v>4.204926</v>
      </c>
      <c r="O401" s="20" t="n">
        <v>4.222692</v>
      </c>
      <c r="P401" s="20" t="n">
        <v>4.268852</v>
      </c>
      <c r="Q401" s="20" t="n">
        <v>4.252298</v>
      </c>
      <c r="R401" s="20" t="n">
        <v>4.231015999999999</v>
      </c>
      <c r="S401" s="20" t="n">
        <v>4.219474</v>
      </c>
      <c r="T401" s="23">
        <f>IFERROR(AVERAGE(D401:S401),"")</f>
        <v/>
      </c>
    </row>
    <row r="402">
      <c r="A402" s="22" t="n">
        <v>46202</v>
      </c>
      <c r="B402" s="22" t="n">
        <v>46206</v>
      </c>
      <c r="C402">
        <f>TEXT(A402,"yyyy-mm")</f>
        <v/>
      </c>
      <c r="D402" s="20" t="n">
        <v>4.416028</v>
      </c>
      <c r="E402" s="20" t="n">
        <v>4.365024999999999</v>
      </c>
      <c r="F402" s="20" t="n">
        <v>4.314760000000001</v>
      </c>
      <c r="G402" s="20" t="n">
        <v>4.355024999999999</v>
      </c>
      <c r="H402" s="20" t="n">
        <v>4.362292999999999</v>
      </c>
      <c r="I402" s="20" t="n">
        <v>4.36649</v>
      </c>
      <c r="J402" s="20" t="n">
        <v>4.352825</v>
      </c>
      <c r="K402" s="20" t="n">
        <v>4.47076</v>
      </c>
      <c r="L402" s="20" t="n">
        <v>4.543353</v>
      </c>
      <c r="M402" s="20" t="n">
        <v>4.56526</v>
      </c>
      <c r="N402" s="20" t="n">
        <v>4.39696</v>
      </c>
      <c r="O402" s="20" t="n">
        <v>4.41476</v>
      </c>
      <c r="P402" s="20" t="n">
        <v>4.461023</v>
      </c>
      <c r="Q402" s="20" t="n">
        <v>4.444433</v>
      </c>
      <c r="R402" s="20" t="n">
        <v>4.427065</v>
      </c>
      <c r="S402" s="20" t="n">
        <v>4.414423</v>
      </c>
      <c r="T402" s="23">
        <f>IFERROR(AVERAGE(D402:S402),"")</f>
        <v/>
      </c>
    </row>
    <row r="403">
      <c r="A403" s="22" t="n">
        <v>46209</v>
      </c>
      <c r="B403" s="22" t="n">
        <v>46213</v>
      </c>
      <c r="C403">
        <f>TEXT(A403,"yyyy-mm")</f>
        <v/>
      </c>
      <c r="D403" s="20" t="n">
        <v>4.670310000000001</v>
      </c>
      <c r="E403" s="20" t="n">
        <v>4.616912</v>
      </c>
      <c r="F403" s="20" t="n">
        <v>4.561649999999999</v>
      </c>
      <c r="G403" s="20" t="n">
        <v>4.606912</v>
      </c>
      <c r="H403" s="20" t="n">
        <v>4.614558</v>
      </c>
      <c r="I403" s="20" t="n">
        <v>4.621090000000001</v>
      </c>
      <c r="J403" s="20" t="n">
        <v>4.605792</v>
      </c>
      <c r="K403" s="20" t="n">
        <v>4.715993999999999</v>
      </c>
      <c r="L403" s="20" t="n">
        <v>4.793688</v>
      </c>
      <c r="M403" s="20" t="n">
        <v>4.815362</v>
      </c>
      <c r="N403" s="20" t="n">
        <v>4.648852</v>
      </c>
      <c r="O403" s="20" t="n">
        <v>4.666462</v>
      </c>
      <c r="P403" s="20" t="n">
        <v>4.712236</v>
      </c>
      <c r="Q403" s="20" t="n">
        <v>4.695818</v>
      </c>
      <c r="R403" s="20" t="n">
        <v>4.681018</v>
      </c>
      <c r="S403" s="20" t="n">
        <v>4.666736</v>
      </c>
      <c r="T403" s="23">
        <f>IFERROR(AVERAGE(D403:S403),"")</f>
        <v/>
      </c>
    </row>
    <row r="404">
      <c r="A404" s="22" t="n">
        <v>46216</v>
      </c>
      <c r="B404" s="22" t="n">
        <v>46220</v>
      </c>
      <c r="C404">
        <f>TEXT(A404,"yyyy-mm")</f>
        <v/>
      </c>
      <c r="D404" s="20" t="n">
        <v>5.278906</v>
      </c>
      <c r="E404" s="20" t="n">
        <v>5.228596</v>
      </c>
      <c r="F404" s="20" t="n">
        <v>5.175634</v>
      </c>
      <c r="G404" s="20" t="n">
        <v>5.218596</v>
      </c>
      <c r="H404" s="20" t="n">
        <v>5.226068000000001</v>
      </c>
      <c r="I404" s="20" t="n">
        <v>5.231528</v>
      </c>
      <c r="J404" s="20" t="n">
        <v>5.21489</v>
      </c>
      <c r="K404" s="20" t="n">
        <v>5.328982</v>
      </c>
      <c r="L404" s="20" t="n">
        <v>5.404042</v>
      </c>
      <c r="M404" s="20" t="n">
        <v>5.425573999999999</v>
      </c>
      <c r="N404" s="20" t="n">
        <v>5.260142</v>
      </c>
      <c r="O404" s="20" t="n">
        <v>5.27764</v>
      </c>
      <c r="P404" s="20" t="n">
        <v>5.323113999999999</v>
      </c>
      <c r="Q404" s="20" t="n">
        <v>5.306804000000001</v>
      </c>
      <c r="R404" s="20" t="n">
        <v>5.291066</v>
      </c>
      <c r="S404" s="20" t="n">
        <v>5.275438</v>
      </c>
      <c r="T404" s="23">
        <f>IFERROR(AVERAGE(D404:S404),"")</f>
        <v/>
      </c>
    </row>
    <row r="405">
      <c r="A405" s="22" t="n">
        <v>46223</v>
      </c>
      <c r="B405" s="22" t="n">
        <v>46227</v>
      </c>
      <c r="C405">
        <f>TEXT(A405,"yyyy-mm")</f>
        <v/>
      </c>
      <c r="D405" s="20" t="n">
        <v>5.610408000000001</v>
      </c>
      <c r="E405" s="20" t="n">
        <v>5.558613999999999</v>
      </c>
      <c r="F405" s="20" t="n">
        <v>5.505968</v>
      </c>
      <c r="G405" s="20" t="n">
        <v>5.548614</v>
      </c>
      <c r="H405" s="20" t="n">
        <v>5.55606</v>
      </c>
      <c r="I405" s="20" t="n">
        <v>5.561374</v>
      </c>
      <c r="J405" s="20" t="n">
        <v>5.547677999999999</v>
      </c>
      <c r="K405" s="20" t="n">
        <v>5.658608</v>
      </c>
      <c r="L405" s="20" t="n">
        <v>5.733214</v>
      </c>
      <c r="M405" s="20" t="n">
        <v>5.754654</v>
      </c>
      <c r="N405" s="20" t="n">
        <v>5.58998</v>
      </c>
      <c r="O405" s="20" t="n">
        <v>5.607398</v>
      </c>
      <c r="P405" s="20" t="n">
        <v>5.652662</v>
      </c>
      <c r="Q405" s="20" t="n">
        <v>5.636428</v>
      </c>
      <c r="R405" s="20" t="n">
        <v>5.620640000000001</v>
      </c>
      <c r="S405" s="20" t="n">
        <v>5.607948</v>
      </c>
      <c r="T405" s="23">
        <f>IFERROR(AVERAGE(D405:S405),"")</f>
        <v/>
      </c>
    </row>
    <row r="406">
      <c r="A406" s="22" t="n">
        <v>46230</v>
      </c>
      <c r="B406" s="22" t="n">
        <v>46234</v>
      </c>
      <c r="C406">
        <f>TEXT(A406,"yyyy-mm")</f>
        <v/>
      </c>
      <c r="D406" s="20" t="n">
        <v>5.792578000000001</v>
      </c>
      <c r="E406" s="20" t="n">
        <v>5.738744</v>
      </c>
      <c r="F406" s="20" t="n">
        <v>5.682626</v>
      </c>
      <c r="G406" s="20" t="n">
        <v>5.728744</v>
      </c>
      <c r="H406" s="20" t="n">
        <v>5.736452</v>
      </c>
      <c r="I406" s="20" t="n">
        <v>5.743392</v>
      </c>
      <c r="J406" s="20" t="n">
        <v>5.728198</v>
      </c>
      <c r="K406" s="20" t="n">
        <v>5.835956</v>
      </c>
      <c r="L406" s="20" t="n">
        <v>5.914408000000001</v>
      </c>
      <c r="M406" s="20" t="n">
        <v>5.935942</v>
      </c>
      <c r="N406" s="20" t="n">
        <v>5.770524</v>
      </c>
      <c r="O406" s="20" t="n">
        <v>5.78802</v>
      </c>
      <c r="P406" s="20" t="n">
        <v>5.833489999999999</v>
      </c>
      <c r="Q406" s="20" t="n">
        <v>5.817182</v>
      </c>
      <c r="R406" s="20" t="n">
        <v>5.802926</v>
      </c>
      <c r="S406" s="20" t="n">
        <v>5.788743999999999</v>
      </c>
      <c r="T406" s="23">
        <f>IFERROR(AVERAGE(D406:S406),"")</f>
        <v/>
      </c>
    </row>
    <row r="407">
      <c r="A407" s="22" t="n">
        <v>46237</v>
      </c>
      <c r="B407" s="22" t="n">
        <v>46241</v>
      </c>
      <c r="C407">
        <f>TEXT(A407,"yyyy-mm")</f>
        <v/>
      </c>
      <c r="D407" s="20" t="n">
        <v>5.381544</v>
      </c>
      <c r="E407" s="20" t="n">
        <v>5.33383</v>
      </c>
      <c r="F407" s="20" t="n">
        <v>5.285626000000001</v>
      </c>
      <c r="G407" s="20" t="n">
        <v>5.32383</v>
      </c>
      <c r="H407" s="20" t="n">
        <v>5.330944000000001</v>
      </c>
      <c r="I407" s="20" t="n">
        <v>5.33417</v>
      </c>
      <c r="J407" s="20" t="n">
        <v>5.319328000000001</v>
      </c>
      <c r="K407" s="20" t="n">
        <v>5.439206</v>
      </c>
      <c r="L407" s="20" t="n">
        <v>5.509188</v>
      </c>
      <c r="M407" s="20" t="n">
        <v>5.530756</v>
      </c>
      <c r="N407" s="20" t="n">
        <v>5.365066</v>
      </c>
      <c r="O407" s="20" t="n">
        <v>5.382595999999999</v>
      </c>
      <c r="P407" s="20" t="n">
        <v>5.42814</v>
      </c>
      <c r="Q407" s="20" t="n">
        <v>5.411802</v>
      </c>
      <c r="R407" s="20" t="n">
        <v>5.393802</v>
      </c>
      <c r="S407" s="20" t="n">
        <v>5.379968</v>
      </c>
      <c r="T407" s="23">
        <f>IFERROR(AVERAGE(D407:S407),"")</f>
        <v/>
      </c>
    </row>
    <row r="408">
      <c r="A408" s="22" t="n">
        <v>46244</v>
      </c>
      <c r="B408" s="22" t="n">
        <v>46248</v>
      </c>
      <c r="C408">
        <f>TEXT(A408,"yyyy-mm")</f>
        <v/>
      </c>
      <c r="D408" s="20" t="n">
        <v>5.784516</v>
      </c>
      <c r="E408" s="20" t="n">
        <v>5.73831</v>
      </c>
      <c r="F408" s="20" t="n">
        <v>5.69397</v>
      </c>
      <c r="G408" s="20" t="n">
        <v>5.72831</v>
      </c>
      <c r="H408" s="20" t="n">
        <v>5.735136000000001</v>
      </c>
      <c r="I408" s="20" t="n">
        <v>5.736548</v>
      </c>
      <c r="J408" s="20" t="n">
        <v>5.723248</v>
      </c>
      <c r="K408" s="20" t="n">
        <v>5.84934</v>
      </c>
      <c r="L408" s="20" t="n">
        <v>5.915452</v>
      </c>
      <c r="M408" s="20" t="n">
        <v>5.937270000000001</v>
      </c>
      <c r="N408" s="20" t="n">
        <v>5.769658000000001</v>
      </c>
      <c r="O408" s="20" t="n">
        <v>5.787386000000001</v>
      </c>
      <c r="P408" s="20" t="n">
        <v>5.833462000000001</v>
      </c>
      <c r="Q408" s="20" t="n">
        <v>5.816936</v>
      </c>
      <c r="R408" s="20" t="n">
        <v>5.796874</v>
      </c>
      <c r="S408" s="20" t="n">
        <v>5.784592</v>
      </c>
      <c r="T408" s="23">
        <f>IFERROR(AVERAGE(D408:S408),"")</f>
        <v/>
      </c>
    </row>
    <row r="409">
      <c r="A409" s="22" t="n">
        <v>46251</v>
      </c>
      <c r="B409" s="22" t="n">
        <v>46255</v>
      </c>
      <c r="C409">
        <f>TEXT(A409,"yyyy-mm")</f>
        <v/>
      </c>
      <c r="D409" s="20" t="n">
        <v>6.108006</v>
      </c>
      <c r="E409" s="20" t="n">
        <v>6.058216000000001</v>
      </c>
      <c r="F409" s="20" t="n">
        <v>6.007024</v>
      </c>
      <c r="G409" s="20" t="n">
        <v>6.048216</v>
      </c>
      <c r="H409" s="20" t="n">
        <v>6.055554</v>
      </c>
      <c r="I409" s="20" t="n">
        <v>6.060182</v>
      </c>
      <c r="J409" s="20" t="n">
        <v>6.043858</v>
      </c>
      <c r="K409" s="20" t="n">
        <v>6.162428</v>
      </c>
      <c r="L409" s="20" t="n">
        <v>6.235912</v>
      </c>
      <c r="M409" s="20" t="n">
        <v>6.257736</v>
      </c>
      <c r="N409" s="20" t="n">
        <v>6.090084</v>
      </c>
      <c r="O409" s="20" t="n">
        <v>6.107818</v>
      </c>
      <c r="P409" s="20" t="n">
        <v>6.153902</v>
      </c>
      <c r="Q409" s="20" t="n">
        <v>6.137372</v>
      </c>
      <c r="R409" s="20" t="n">
        <v>6.120518</v>
      </c>
      <c r="S409" s="20" t="n">
        <v>6.105218</v>
      </c>
      <c r="T409" s="23">
        <f>IFERROR(AVERAGE(D409:S409),"")</f>
        <v/>
      </c>
    </row>
    <row r="410">
      <c r="A410" s="22" t="n">
        <v>46258</v>
      </c>
      <c r="B410" s="22" t="n">
        <v>46262</v>
      </c>
      <c r="C410">
        <f>TEXT(A410,"yyyy-mm")</f>
        <v/>
      </c>
      <c r="D410" s="20" t="n">
        <v>5.94441</v>
      </c>
      <c r="E410" s="20" t="n">
        <v>5.896072</v>
      </c>
      <c r="F410" s="20" t="n">
        <v>5.84642</v>
      </c>
      <c r="G410" s="20" t="n">
        <v>5.886072</v>
      </c>
      <c r="H410" s="20" t="n">
        <v>5.893294</v>
      </c>
      <c r="I410" s="20" t="n">
        <v>5.897196</v>
      </c>
      <c r="J410" s="20" t="n">
        <v>5.880873999999999</v>
      </c>
      <c r="K410" s="20" t="n">
        <v>6.001312</v>
      </c>
      <c r="L410" s="20" t="n">
        <v>6.073060000000001</v>
      </c>
      <c r="M410" s="20" t="n">
        <v>6.094814</v>
      </c>
      <c r="N410" s="20" t="n">
        <v>5.927708</v>
      </c>
      <c r="O410" s="20" t="n">
        <v>5.945384</v>
      </c>
      <c r="P410" s="20" t="n">
        <v>5.991318000000001</v>
      </c>
      <c r="Q410" s="20" t="n">
        <v>5.974842</v>
      </c>
      <c r="R410" s="20" t="n">
        <v>5.957338</v>
      </c>
      <c r="S410" s="20" t="n">
        <v>5.942034</v>
      </c>
      <c r="T410" s="23">
        <f>IFERROR(AVERAGE(D410:S410),"")</f>
        <v/>
      </c>
    </row>
    <row r="411">
      <c r="A411" s="22" t="n">
        <v>46265</v>
      </c>
      <c r="B411" s="22" t="n">
        <v>46269</v>
      </c>
      <c r="C411">
        <f>TEXT(A411,"yyyy-mm")</f>
        <v/>
      </c>
      <c r="D411" s="20" t="n">
        <v>6.288600000000001</v>
      </c>
      <c r="E411" s="20" t="n">
        <v>6.23937</v>
      </c>
      <c r="F411" s="20" t="n">
        <v>6.188046</v>
      </c>
      <c r="G411" s="20" t="n">
        <v>6.22937</v>
      </c>
      <c r="H411" s="20" t="n">
        <v>6.236716</v>
      </c>
      <c r="I411" s="20" t="n">
        <v>6.241406</v>
      </c>
      <c r="J411" s="20" t="n">
        <v>6.224856</v>
      </c>
      <c r="K411" s="20" t="n">
        <v>6.341976</v>
      </c>
      <c r="L411" s="20" t="n">
        <v>6.415362</v>
      </c>
      <c r="M411" s="20" t="n">
        <v>6.436979999999999</v>
      </c>
      <c r="N411" s="20" t="n">
        <v>6.270916000000001</v>
      </c>
      <c r="O411" s="20" t="n">
        <v>6.288482</v>
      </c>
      <c r="P411" s="20" t="n">
        <v>6.334131999999999</v>
      </c>
      <c r="Q411" s="20" t="n">
        <v>6.317758</v>
      </c>
      <c r="R411" s="20" t="n">
        <v>6.30117</v>
      </c>
      <c r="S411" s="20" t="n">
        <v>6.285638</v>
      </c>
      <c r="T411" s="23">
        <f>IFERROR(AVERAGE(D411:S411),"")</f>
        <v/>
      </c>
    </row>
    <row r="412">
      <c r="A412" s="22" t="n">
        <v>46272</v>
      </c>
      <c r="B412" s="22" t="n">
        <v>46276</v>
      </c>
      <c r="C412">
        <f>TEXT(A412,"yyyy-mm")</f>
        <v/>
      </c>
      <c r="D412" s="20" t="n">
        <v>6.510758</v>
      </c>
      <c r="E412" s="20" t="n">
        <v>6.46329</v>
      </c>
      <c r="F412" s="20" t="n">
        <v>6.414563</v>
      </c>
      <c r="G412" s="20" t="n">
        <v>6.45329</v>
      </c>
      <c r="H412" s="20" t="n">
        <v>6.460448</v>
      </c>
      <c r="I412" s="20" t="n">
        <v>6.46392</v>
      </c>
      <c r="J412" s="20" t="n">
        <v>6.448315</v>
      </c>
      <c r="K412" s="20" t="n">
        <v>6.567618</v>
      </c>
      <c r="L412" s="20" t="n">
        <v>6.63808</v>
      </c>
      <c r="M412" s="20" t="n">
        <v>6.659575</v>
      </c>
      <c r="N412" s="20" t="n">
        <v>6.494453</v>
      </c>
      <c r="O412" s="20" t="n">
        <v>6.51192</v>
      </c>
      <c r="P412" s="20" t="n">
        <v>6.55731</v>
      </c>
      <c r="Q412" s="20" t="n">
        <v>6.541028</v>
      </c>
      <c r="R412" s="20" t="n">
        <v>6.523345</v>
      </c>
      <c r="S412" s="20" t="n">
        <v>6.508753</v>
      </c>
      <c r="T412" s="23">
        <f>IFERROR(AVERAGE(D412:S412),"")</f>
        <v/>
      </c>
    </row>
    <row r="413">
      <c r="A413" s="22" t="n">
        <v>46279</v>
      </c>
      <c r="B413" s="22" t="n">
        <v>46283</v>
      </c>
      <c r="C413">
        <f>TEXT(A413,"yyyy-mm")</f>
        <v/>
      </c>
      <c r="D413" s="20" t="n">
        <v>6.981594</v>
      </c>
      <c r="E413" s="20" t="n">
        <v>6.933166</v>
      </c>
      <c r="F413" s="20" t="n">
        <v>6.883842</v>
      </c>
      <c r="G413" s="20" t="n">
        <v>6.923166</v>
      </c>
      <c r="H413" s="20" t="n">
        <v>6.930364</v>
      </c>
      <c r="I413" s="20" t="n">
        <v>6.934116</v>
      </c>
      <c r="J413" s="20" t="n">
        <v>6.918598</v>
      </c>
      <c r="K413" s="20" t="n">
        <v>7.038152</v>
      </c>
      <c r="L413" s="20" t="n">
        <v>7.109452</v>
      </c>
      <c r="M413" s="20" t="n">
        <v>7.131126</v>
      </c>
      <c r="N413" s="20" t="n">
        <v>6.96465</v>
      </c>
      <c r="O413" s="20" t="n">
        <v>6.98226</v>
      </c>
      <c r="P413" s="20" t="n">
        <v>7.028020000000001</v>
      </c>
      <c r="Q413" s="20" t="n">
        <v>7.011604</v>
      </c>
      <c r="R413" s="20" t="n">
        <v>6.99403</v>
      </c>
      <c r="S413" s="20" t="n">
        <v>6.979532</v>
      </c>
      <c r="T413" s="23">
        <f>IFERROR(AVERAGE(D413:S413),"")</f>
        <v/>
      </c>
    </row>
    <row r="414">
      <c r="A414" s="22" t="n">
        <v>46286</v>
      </c>
      <c r="B414" s="22" t="n">
        <v>46290</v>
      </c>
      <c r="C414">
        <f>TEXT(A414,"yyyy-mm")</f>
        <v/>
      </c>
      <c r="D414" s="20" t="n">
        <v>6.628381999999999</v>
      </c>
      <c r="E414" s="20" t="n">
        <v>6.577578000000001</v>
      </c>
      <c r="F414" s="20" t="n">
        <v>6.525512</v>
      </c>
      <c r="G414" s="20" t="n">
        <v>6.567578</v>
      </c>
      <c r="H414" s="20" t="n">
        <v>6.574984000000001</v>
      </c>
      <c r="I414" s="20" t="n">
        <v>6.580022</v>
      </c>
      <c r="J414" s="20" t="n">
        <v>6.564636</v>
      </c>
      <c r="K414" s="20" t="n">
        <v>6.680018</v>
      </c>
      <c r="L414" s="20" t="n">
        <v>6.754302</v>
      </c>
      <c r="M414" s="20" t="n">
        <v>6.776</v>
      </c>
      <c r="N414" s="20" t="n">
        <v>6.609312</v>
      </c>
      <c r="O414" s="20" t="n">
        <v>6.626946</v>
      </c>
      <c r="P414" s="20" t="n">
        <v>6.672764</v>
      </c>
      <c r="Q414" s="20" t="n">
        <v>6.656328</v>
      </c>
      <c r="R414" s="20" t="n">
        <v>6.640014</v>
      </c>
      <c r="S414" s="20" t="n">
        <v>6.625644</v>
      </c>
      <c r="T414" s="23">
        <f>IFERROR(AVERAGE(D414:S414),"")</f>
        <v/>
      </c>
    </row>
    <row r="416">
      <c r="A416" s="21" t="inlineStr">
        <is>
          <t>Fonte: ANP, PPI (S&amp;P Global Commodity Insights / Abicom-StoneX) — download oficial, 412 semanas, 2018-11-05 a 2026-09-21.</t>
        </is>
      </c>
    </row>
  </sheetData>
  <mergeCells count="1">
    <mergeCell ref="A1:T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16"/>
  <sheetViews>
    <sheetView showGridLines="0" tabSelected="0"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4" customWidth="1" min="20" max="20"/>
  </cols>
  <sheetData>
    <row r="1">
      <c r="A1" s="6" t="inlineStr">
        <is>
          <t>PPI oficial ANP — Gasolina (semanal) — médio semanal por polo (R$/litro, sem tributos)</t>
        </is>
      </c>
    </row>
    <row r="2">
      <c r="A2" s="18" t="inlineStr">
        <is>
          <t>Semana início</t>
        </is>
      </c>
      <c r="B2" s="18" t="inlineStr">
        <is>
          <t>Semana fim</t>
        </is>
      </c>
      <c r="C2" s="18" t="inlineStr">
        <is>
          <t>AnoMes</t>
        </is>
      </c>
      <c r="D2" s="18" t="inlineStr">
        <is>
          <t>Manaus</t>
        </is>
      </c>
      <c r="E2" s="18" t="inlineStr">
        <is>
          <t>Itaqui</t>
        </is>
      </c>
      <c r="F2" s="18" t="inlineStr">
        <is>
          <t>Suape</t>
        </is>
      </c>
      <c r="G2" s="18" t="inlineStr">
        <is>
          <t>Aratu</t>
        </is>
      </c>
      <c r="H2" s="18" t="inlineStr">
        <is>
          <t>Santos</t>
        </is>
      </c>
      <c r="I2" s="18" t="inlineStr">
        <is>
          <t>Paranagua</t>
        </is>
      </c>
      <c r="J2" s="18" t="inlineStr">
        <is>
          <t>Tramandai</t>
        </is>
      </c>
      <c r="K2" s="18" t="inlineStr">
        <is>
          <t>Guamare</t>
        </is>
      </c>
      <c r="L2" s="18" t="inlineStr">
        <is>
          <t>Duque de Caxias</t>
        </is>
      </c>
      <c r="M2" s="18" t="inlineStr">
        <is>
          <t>Betim</t>
        </is>
      </c>
      <c r="N2" s="18" t="inlineStr">
        <is>
          <t>Cubatao</t>
        </is>
      </c>
      <c r="O2" s="18" t="inlineStr">
        <is>
          <t>Maua</t>
        </is>
      </c>
      <c r="P2" s="18" t="inlineStr">
        <is>
          <t>Paulinia</t>
        </is>
      </c>
      <c r="Q2" s="18" t="inlineStr">
        <is>
          <t>Sao Jose dos Campos</t>
        </is>
      </c>
      <c r="R2" s="18" t="inlineStr">
        <is>
          <t>Araucaria</t>
        </is>
      </c>
      <c r="S2" s="18" t="inlineStr">
        <is>
          <t>Canoas</t>
        </is>
      </c>
      <c r="T2" s="18" t="inlineStr">
        <is>
          <t>Média simples (aprox. nacional)</t>
        </is>
      </c>
    </row>
    <row r="3">
      <c r="A3" s="22" t="n">
        <v>43409</v>
      </c>
      <c r="B3" s="22" t="n">
        <v>43413</v>
      </c>
      <c r="C3">
        <f>TEXT(A3,"yyyy-mm")</f>
        <v/>
      </c>
      <c r="D3" s="20" t="n"/>
      <c r="E3" s="20" t="n">
        <v>1.602604</v>
      </c>
      <c r="F3" s="20" t="n">
        <v>1.616238</v>
      </c>
      <c r="G3" s="20" t="n">
        <v>1.617774</v>
      </c>
      <c r="H3" s="20" t="n">
        <v>1.653378</v>
      </c>
      <c r="I3" s="20" t="n">
        <v>1.630454</v>
      </c>
      <c r="J3" s="20" t="n"/>
      <c r="K3" s="20" t="n"/>
      <c r="L3" s="20" t="n"/>
      <c r="M3" s="20" t="n"/>
      <c r="N3" s="20" t="n"/>
      <c r="O3" s="20" t="n"/>
      <c r="P3" s="20" t="n"/>
      <c r="Q3" s="20" t="n"/>
      <c r="R3" s="20" t="n"/>
      <c r="S3" s="20" t="n"/>
      <c r="T3" s="23">
        <f>IFERROR(AVERAGE(D3:S3),"")</f>
        <v/>
      </c>
    </row>
    <row r="4">
      <c r="A4" s="22" t="n">
        <v>43416</v>
      </c>
      <c r="B4" s="22" t="n">
        <v>43420</v>
      </c>
      <c r="C4">
        <f>TEXT(A4,"yyyy-mm")</f>
        <v/>
      </c>
      <c r="D4" s="20" t="n"/>
      <c r="E4" s="20" t="n">
        <v>1.524086</v>
      </c>
      <c r="F4" s="20" t="n">
        <v>1.537714</v>
      </c>
      <c r="G4" s="20" t="n">
        <v>1.539262</v>
      </c>
      <c r="H4" s="20" t="n">
        <v>1.574876</v>
      </c>
      <c r="I4" s="20" t="n">
        <v>1.551936</v>
      </c>
      <c r="J4" s="20" t="n"/>
      <c r="K4" s="20" t="n"/>
      <c r="L4" s="20" t="n"/>
      <c r="M4" s="20" t="n"/>
      <c r="N4" s="20" t="n"/>
      <c r="O4" s="20" t="n"/>
      <c r="P4" s="20" t="n"/>
      <c r="Q4" s="20" t="n"/>
      <c r="R4" s="20" t="n"/>
      <c r="S4" s="20" t="n"/>
      <c r="T4" s="23">
        <f>IFERROR(AVERAGE(D4:S4),"")</f>
        <v/>
      </c>
    </row>
    <row r="5">
      <c r="A5" s="22" t="n">
        <v>43423</v>
      </c>
      <c r="B5" s="22" t="n">
        <v>43427</v>
      </c>
      <c r="C5">
        <f>TEXT(A5,"yyyy-mm")</f>
        <v/>
      </c>
      <c r="D5" s="20" t="n"/>
      <c r="E5" s="20" t="n">
        <v>1.48227</v>
      </c>
      <c r="F5" s="20" t="n">
        <v>1.495896666666667</v>
      </c>
      <c r="G5" s="20" t="n">
        <v>1.497443333333333</v>
      </c>
      <c r="H5" s="20" t="n">
        <v>1.536816666666667</v>
      </c>
      <c r="I5" s="20" t="n">
        <v>1.51405</v>
      </c>
      <c r="J5" s="20" t="n"/>
      <c r="K5" s="20" t="n"/>
      <c r="L5" s="20" t="n"/>
      <c r="M5" s="20" t="n"/>
      <c r="N5" s="20" t="n"/>
      <c r="O5" s="20" t="n"/>
      <c r="P5" s="20" t="n"/>
      <c r="Q5" s="20" t="n"/>
      <c r="R5" s="20" t="n"/>
      <c r="S5" s="20" t="n"/>
      <c r="T5" s="23">
        <f>IFERROR(AVERAGE(D5:S5),"")</f>
        <v/>
      </c>
    </row>
    <row r="6">
      <c r="A6" s="22" t="n">
        <v>43430</v>
      </c>
      <c r="B6" s="22" t="n">
        <v>43434</v>
      </c>
      <c r="C6">
        <f>TEXT(A6,"yyyy-mm")</f>
        <v/>
      </c>
      <c r="D6" s="20" t="n"/>
      <c r="E6" s="20" t="n">
        <v>1.40253</v>
      </c>
      <c r="F6" s="20" t="n">
        <v>1.416134</v>
      </c>
      <c r="G6" s="20" t="n">
        <v>1.417722</v>
      </c>
      <c r="H6" s="20" t="n">
        <v>1.458436</v>
      </c>
      <c r="I6" s="20" t="n">
        <v>1.435668</v>
      </c>
      <c r="J6" s="20" t="n"/>
      <c r="K6" s="20" t="n"/>
      <c r="L6" s="20" t="n"/>
      <c r="M6" s="20" t="n"/>
      <c r="N6" s="20" t="n"/>
      <c r="O6" s="20" t="n"/>
      <c r="P6" s="20" t="n"/>
      <c r="Q6" s="20" t="n"/>
      <c r="R6" s="20" t="n"/>
      <c r="S6" s="20" t="n"/>
      <c r="T6" s="23">
        <f>IFERROR(AVERAGE(D6:S6),"")</f>
        <v/>
      </c>
    </row>
    <row r="7">
      <c r="A7" s="22" t="n">
        <v>43437</v>
      </c>
      <c r="B7" s="22" t="n">
        <v>43441</v>
      </c>
      <c r="C7">
        <f>TEXT(A7,"yyyy-mm")</f>
        <v/>
      </c>
      <c r="D7" s="20" t="n"/>
      <c r="E7" s="20" t="n">
        <v>1.4132</v>
      </c>
      <c r="F7" s="20" t="n">
        <v>1.4268</v>
      </c>
      <c r="G7" s="20" t="n">
        <v>1.4284</v>
      </c>
      <c r="H7" s="20" t="n">
        <v>1.4754</v>
      </c>
      <c r="I7" s="20" t="n">
        <v>1.4529</v>
      </c>
      <c r="J7" s="20" t="n"/>
      <c r="K7" s="20" t="n"/>
      <c r="L7" s="20" t="n"/>
      <c r="M7" s="20" t="n"/>
      <c r="N7" s="20" t="n"/>
      <c r="O7" s="20" t="n"/>
      <c r="P7" s="20" t="n"/>
      <c r="Q7" s="20" t="n"/>
      <c r="R7" s="20" t="n"/>
      <c r="S7" s="20" t="n"/>
      <c r="T7" s="23">
        <f>IFERROR(AVERAGE(D7:S7),"")</f>
        <v/>
      </c>
    </row>
    <row r="8">
      <c r="A8" s="22" t="n">
        <v>43444</v>
      </c>
      <c r="B8" s="22" t="n">
        <v>43448</v>
      </c>
      <c r="C8">
        <f>TEXT(A8,"yyyy-mm")</f>
        <v/>
      </c>
      <c r="D8" s="20" t="n"/>
      <c r="E8" s="20" t="n">
        <v>1.4263</v>
      </c>
      <c r="F8" s="20" t="n">
        <v>1.44</v>
      </c>
      <c r="G8" s="20" t="n">
        <v>1.4415</v>
      </c>
      <c r="H8" s="20" t="n">
        <v>1.4892</v>
      </c>
      <c r="I8" s="20" t="n">
        <v>1.4667</v>
      </c>
      <c r="J8" s="20" t="n"/>
      <c r="K8" s="20" t="n"/>
      <c r="L8" s="20" t="n"/>
      <c r="M8" s="20" t="n"/>
      <c r="N8" s="20" t="n"/>
      <c r="O8" s="20" t="n"/>
      <c r="P8" s="20" t="n"/>
      <c r="Q8" s="20" t="n"/>
      <c r="R8" s="20" t="n"/>
      <c r="S8" s="20" t="n"/>
      <c r="T8" s="23">
        <f>IFERROR(AVERAGE(D8:S8),"")</f>
        <v/>
      </c>
    </row>
    <row r="9">
      <c r="A9" s="22" t="n">
        <v>43451</v>
      </c>
      <c r="B9" s="22" t="n">
        <v>43455</v>
      </c>
      <c r="C9">
        <f>TEXT(A9,"yyyy-mm")</f>
        <v/>
      </c>
      <c r="D9" s="20" t="n"/>
      <c r="E9" s="20" t="n">
        <v>1.354148</v>
      </c>
      <c r="F9" s="20" t="n">
        <v>1.367754</v>
      </c>
      <c r="G9" s="20" t="n">
        <v>1.369344</v>
      </c>
      <c r="H9" s="20" t="n">
        <v>1.40937</v>
      </c>
      <c r="I9" s="20" t="n">
        <v>1.386564</v>
      </c>
      <c r="J9" s="20" t="n"/>
      <c r="K9" s="20" t="n"/>
      <c r="L9" s="20" t="n"/>
      <c r="M9" s="20" t="n"/>
      <c r="N9" s="20" t="n"/>
      <c r="O9" s="20" t="n"/>
      <c r="P9" s="20" t="n"/>
      <c r="Q9" s="20" t="n"/>
      <c r="R9" s="20" t="n"/>
      <c r="S9" s="20" t="n"/>
      <c r="T9" s="23">
        <f>IFERROR(AVERAGE(D9:S9),"")</f>
        <v/>
      </c>
    </row>
    <row r="10">
      <c r="A10" s="22" t="n">
        <v>43458</v>
      </c>
      <c r="B10" s="22" t="n">
        <v>43462</v>
      </c>
      <c r="C10">
        <f>TEXT(A10,"yyyy-mm")</f>
        <v/>
      </c>
      <c r="D10" s="20" t="n"/>
      <c r="E10" s="20" t="n">
        <v>1.272852686409543</v>
      </c>
      <c r="F10" s="20" t="n">
        <v>1.295700455508081</v>
      </c>
      <c r="G10" s="20" t="n">
        <v>1.303327894932488</v>
      </c>
      <c r="H10" s="20" t="n">
        <v>1.323986438979717</v>
      </c>
      <c r="I10" s="20" t="n">
        <v>1.304272036131188</v>
      </c>
      <c r="J10" s="20" t="n"/>
      <c r="K10" s="20" t="n"/>
      <c r="L10" s="20" t="n"/>
      <c r="M10" s="20" t="n"/>
      <c r="N10" s="20" t="n"/>
      <c r="O10" s="20" t="n"/>
      <c r="P10" s="20" t="n"/>
      <c r="Q10" s="20" t="n"/>
      <c r="R10" s="20" t="n"/>
      <c r="S10" s="20" t="n"/>
      <c r="T10" s="23">
        <f>IFERROR(AVERAGE(D10:S10),"")</f>
        <v/>
      </c>
    </row>
    <row r="11">
      <c r="A11" s="22" t="n">
        <v>43465</v>
      </c>
      <c r="B11" s="22" t="n">
        <v>43469</v>
      </c>
      <c r="C11">
        <f>TEXT(A11,"yyyy-mm")</f>
        <v/>
      </c>
      <c r="D11" s="20" t="n"/>
      <c r="E11" s="20" t="n">
        <v>1.262106666666667</v>
      </c>
      <c r="F11" s="20" t="n">
        <v>1.275826666666667</v>
      </c>
      <c r="G11" s="20" t="n">
        <v>1.277186666666667</v>
      </c>
      <c r="H11" s="20" t="n">
        <v>1.311913333333333</v>
      </c>
      <c r="I11" s="20" t="n">
        <v>1.289253333333333</v>
      </c>
      <c r="J11" s="20" t="n"/>
      <c r="K11" s="20" t="n"/>
      <c r="L11" s="20" t="n"/>
      <c r="M11" s="20" t="n"/>
      <c r="N11" s="20" t="n"/>
      <c r="O11" s="20" t="n"/>
      <c r="P11" s="20" t="n"/>
      <c r="Q11" s="20" t="n"/>
      <c r="R11" s="20" t="n"/>
      <c r="S11" s="20" t="n"/>
      <c r="T11" s="23">
        <f>IFERROR(AVERAGE(D11:S11),"")</f>
        <v/>
      </c>
    </row>
    <row r="12">
      <c r="A12" s="22" t="n">
        <v>43472</v>
      </c>
      <c r="B12" s="22" t="n">
        <v>43476</v>
      </c>
      <c r="C12">
        <f>TEXT(A12,"yyyy-mm")</f>
        <v/>
      </c>
      <c r="D12" s="20" t="n"/>
      <c r="E12" s="20" t="n">
        <v>1.291026</v>
      </c>
      <c r="F12" s="20" t="n">
        <v>1.304758</v>
      </c>
      <c r="G12" s="20" t="n">
        <v>1.306098</v>
      </c>
      <c r="H12" s="20" t="n">
        <v>1.33958</v>
      </c>
      <c r="I12" s="20" t="n">
        <v>1.316866</v>
      </c>
      <c r="J12" s="20" t="n"/>
      <c r="K12" s="20" t="n"/>
      <c r="L12" s="20" t="n"/>
      <c r="M12" s="20" t="n"/>
      <c r="N12" s="20" t="n"/>
      <c r="O12" s="20" t="n"/>
      <c r="P12" s="20" t="n"/>
      <c r="Q12" s="20" t="n"/>
      <c r="R12" s="20" t="n"/>
      <c r="S12" s="20" t="n"/>
      <c r="T12" s="23">
        <f>IFERROR(AVERAGE(D12:S12),"")</f>
        <v/>
      </c>
    </row>
    <row r="13">
      <c r="A13" s="22" t="n">
        <v>43479</v>
      </c>
      <c r="B13" s="22" t="n">
        <v>43483</v>
      </c>
      <c r="C13">
        <f>TEXT(A13,"yyyy-mm")</f>
        <v/>
      </c>
      <c r="D13" s="20" t="n"/>
      <c r="E13" s="20" t="n">
        <v>1.344538</v>
      </c>
      <c r="F13" s="20" t="n">
        <v>1.358272</v>
      </c>
      <c r="G13" s="20" t="n">
        <v>1.359602</v>
      </c>
      <c r="H13" s="20" t="n">
        <v>1.390746</v>
      </c>
      <c r="I13" s="20" t="n">
        <v>1.367942</v>
      </c>
      <c r="J13" s="20" t="n"/>
      <c r="K13" s="20" t="n"/>
      <c r="L13" s="20" t="n"/>
      <c r="M13" s="20" t="n"/>
      <c r="N13" s="20" t="n"/>
      <c r="O13" s="20" t="n"/>
      <c r="P13" s="20" t="n"/>
      <c r="Q13" s="20" t="n"/>
      <c r="R13" s="20" t="n"/>
      <c r="S13" s="20" t="n"/>
      <c r="T13" s="23">
        <f>IFERROR(AVERAGE(D13:S13),"")</f>
        <v/>
      </c>
    </row>
    <row r="14">
      <c r="A14" s="22" t="n">
        <v>43486</v>
      </c>
      <c r="B14" s="22" t="n">
        <v>43490</v>
      </c>
      <c r="C14">
        <f>TEXT(A14,"yyyy-mm")</f>
        <v/>
      </c>
      <c r="D14" s="20" t="n"/>
      <c r="E14" s="20" t="n">
        <v>1.3735075</v>
      </c>
      <c r="F14" s="20" t="n">
        <v>1.3872425</v>
      </c>
      <c r="G14" s="20" t="n">
        <v>1.3885725</v>
      </c>
      <c r="H14" s="20" t="n">
        <v>1.418995</v>
      </c>
      <c r="I14" s="20" t="n">
        <v>1.3961525</v>
      </c>
      <c r="J14" s="20" t="n"/>
      <c r="K14" s="20" t="n"/>
      <c r="L14" s="20" t="n"/>
      <c r="M14" s="20" t="n"/>
      <c r="N14" s="20" t="n"/>
      <c r="O14" s="20" t="n"/>
      <c r="P14" s="20" t="n"/>
      <c r="Q14" s="20" t="n"/>
      <c r="R14" s="20" t="n"/>
      <c r="S14" s="20" t="n"/>
      <c r="T14" s="23">
        <f>IFERROR(AVERAGE(D14:S14),"")</f>
        <v/>
      </c>
    </row>
    <row r="15">
      <c r="A15" s="22" t="n">
        <v>43493</v>
      </c>
      <c r="B15" s="22" t="n">
        <v>43497</v>
      </c>
      <c r="C15">
        <f>TEXT(A15,"yyyy-mm")</f>
        <v/>
      </c>
      <c r="D15" s="20" t="n"/>
      <c r="E15" s="20" t="n">
        <v>1.301086</v>
      </c>
      <c r="F15" s="20" t="n">
        <v>1.314842</v>
      </c>
      <c r="G15" s="20" t="n">
        <v>1.316134</v>
      </c>
      <c r="H15" s="20" t="n">
        <v>1.346254</v>
      </c>
      <c r="I15" s="20" t="n">
        <v>1.323462</v>
      </c>
      <c r="J15" s="20" t="n"/>
      <c r="K15" s="20" t="n"/>
      <c r="L15" s="20" t="n"/>
      <c r="M15" s="20" t="n"/>
      <c r="N15" s="20" t="n"/>
      <c r="O15" s="20" t="n"/>
      <c r="P15" s="20" t="n"/>
      <c r="Q15" s="20" t="n"/>
      <c r="R15" s="20" t="n"/>
      <c r="S15" s="20" t="n"/>
      <c r="T15" s="23">
        <f>IFERROR(AVERAGE(D15:S15),"")</f>
        <v/>
      </c>
    </row>
    <row r="16">
      <c r="A16" s="22" t="n">
        <v>43500</v>
      </c>
      <c r="B16" s="22" t="n">
        <v>43504</v>
      </c>
      <c r="C16">
        <f>TEXT(A16,"yyyy-mm")</f>
        <v/>
      </c>
      <c r="D16" s="20" t="n"/>
      <c r="E16" s="20" t="n">
        <v>1.351458</v>
      </c>
      <c r="F16" s="20" t="n">
        <v>1.365224</v>
      </c>
      <c r="G16" s="20" t="n">
        <v>1.36649</v>
      </c>
      <c r="H16" s="20" t="n">
        <v>1.394932</v>
      </c>
      <c r="I16" s="20" t="n">
        <v>1.372094</v>
      </c>
      <c r="J16" s="20" t="n"/>
      <c r="K16" s="20" t="n"/>
      <c r="L16" s="20" t="n"/>
      <c r="M16" s="20" t="n"/>
      <c r="N16" s="20" t="n"/>
      <c r="O16" s="20" t="n"/>
      <c r="P16" s="20" t="n"/>
      <c r="Q16" s="20" t="n"/>
      <c r="R16" s="20" t="n"/>
      <c r="S16" s="20" t="n"/>
      <c r="T16" s="23">
        <f>IFERROR(AVERAGE(D16:S16),"")</f>
        <v/>
      </c>
    </row>
    <row r="17">
      <c r="A17" s="22" t="n">
        <v>43507</v>
      </c>
      <c r="B17" s="22" t="n">
        <v>43511</v>
      </c>
      <c r="C17">
        <f>TEXT(A17,"yyyy-mm")</f>
        <v/>
      </c>
      <c r="D17" s="20" t="n"/>
      <c r="E17" s="20" t="n">
        <v>1.392326</v>
      </c>
      <c r="F17" s="20" t="n">
        <v>1.406056</v>
      </c>
      <c r="G17" s="20" t="n">
        <v>1.407394</v>
      </c>
      <c r="H17" s="20" t="n">
        <v>1.441172</v>
      </c>
      <c r="I17" s="20" t="n">
        <v>1.41848</v>
      </c>
      <c r="J17" s="20" t="n"/>
      <c r="K17" s="20" t="n"/>
      <c r="L17" s="20" t="n"/>
      <c r="M17" s="20" t="n"/>
      <c r="N17" s="20" t="n"/>
      <c r="O17" s="20" t="n"/>
      <c r="P17" s="20" t="n"/>
      <c r="Q17" s="20" t="n"/>
      <c r="R17" s="20" t="n"/>
      <c r="S17" s="20" t="n"/>
      <c r="T17" s="23">
        <f>IFERROR(AVERAGE(D17:S17),"")</f>
        <v/>
      </c>
    </row>
    <row r="18">
      <c r="A18" s="22" t="n">
        <v>43514</v>
      </c>
      <c r="B18" s="22" t="n">
        <v>43518</v>
      </c>
      <c r="C18">
        <f>TEXT(A18,"yyyy-mm")</f>
        <v/>
      </c>
      <c r="D18" s="20" t="n"/>
      <c r="E18" s="20" t="n">
        <v>1.5411325</v>
      </c>
      <c r="F18" s="20" t="n">
        <v>1.5548175</v>
      </c>
      <c r="G18" s="20" t="n">
        <v>1.5562425</v>
      </c>
      <c r="H18" s="20" t="n">
        <v>1.5905025</v>
      </c>
      <c r="I18" s="20" t="n">
        <v>1.5676925</v>
      </c>
      <c r="J18" s="20" t="n"/>
      <c r="K18" s="20" t="n"/>
      <c r="L18" s="20" t="n"/>
      <c r="M18" s="20" t="n"/>
      <c r="N18" s="20" t="n"/>
      <c r="O18" s="20" t="n"/>
      <c r="P18" s="20" t="n"/>
      <c r="Q18" s="20" t="n"/>
      <c r="R18" s="20" t="n"/>
      <c r="S18" s="20" t="n"/>
      <c r="T18" s="23">
        <f>IFERROR(AVERAGE(D18:S18),"")</f>
        <v/>
      </c>
    </row>
    <row r="19">
      <c r="A19" s="22" t="n">
        <v>43521</v>
      </c>
      <c r="B19" s="22" t="n">
        <v>43525</v>
      </c>
      <c r="C19">
        <f>TEXT(A19,"yyyy-mm")</f>
        <v/>
      </c>
      <c r="D19" s="20" t="n"/>
      <c r="E19" s="20" t="n">
        <v>1.53696</v>
      </c>
      <c r="F19" s="20" t="n">
        <v>1.55066</v>
      </c>
      <c r="G19" s="20" t="n">
        <v>1.55206</v>
      </c>
      <c r="H19" s="20" t="n">
        <v>1.584712</v>
      </c>
      <c r="I19" s="20" t="n">
        <v>1.561866</v>
      </c>
      <c r="J19" s="20" t="n"/>
      <c r="K19" s="20" t="n"/>
      <c r="L19" s="20" t="n"/>
      <c r="M19" s="20" t="n"/>
      <c r="N19" s="20" t="n"/>
      <c r="O19" s="20" t="n"/>
      <c r="P19" s="20" t="n"/>
      <c r="Q19" s="20" t="n"/>
      <c r="R19" s="20" t="n"/>
      <c r="S19" s="20" t="n"/>
      <c r="T19" s="23">
        <f>IFERROR(AVERAGE(D19:S19),"")</f>
        <v/>
      </c>
    </row>
    <row r="20">
      <c r="A20" s="22" t="n">
        <v>43528</v>
      </c>
      <c r="B20" s="22" t="n">
        <v>43532</v>
      </c>
      <c r="C20">
        <f>TEXT(A20,"yyyy-mm")</f>
        <v/>
      </c>
      <c r="D20" s="20" t="n"/>
      <c r="E20" s="20" t="n">
        <v>1.608956</v>
      </c>
      <c r="F20" s="20" t="n">
        <v>1.622698</v>
      </c>
      <c r="G20" s="20" t="n">
        <v>1.624012</v>
      </c>
      <c r="H20" s="20" t="n">
        <v>1.654012</v>
      </c>
      <c r="I20" s="20" t="n">
        <v>1.631174</v>
      </c>
      <c r="J20" s="20" t="n"/>
      <c r="K20" s="20" t="n"/>
      <c r="L20" s="20" t="n"/>
      <c r="M20" s="20" t="n"/>
      <c r="N20" s="20" t="n"/>
      <c r="O20" s="20" t="n"/>
      <c r="P20" s="20" t="n"/>
      <c r="Q20" s="20" t="n"/>
      <c r="R20" s="20" t="n"/>
      <c r="S20" s="20" t="n"/>
      <c r="T20" s="23">
        <f>IFERROR(AVERAGE(D20:S20),"")</f>
        <v/>
      </c>
    </row>
    <row r="21">
      <c r="A21" s="22" t="n">
        <v>43535</v>
      </c>
      <c r="B21" s="22" t="n">
        <v>43539</v>
      </c>
      <c r="C21">
        <f>TEXT(A21,"yyyy-mm")</f>
        <v/>
      </c>
      <c r="D21" s="20" t="n"/>
      <c r="E21" s="20" t="n">
        <v>1.658822</v>
      </c>
      <c r="F21" s="20" t="n">
        <v>1.672598</v>
      </c>
      <c r="G21" s="20" t="n">
        <v>1.673848</v>
      </c>
      <c r="H21" s="20" t="n">
        <v>1.702746</v>
      </c>
      <c r="I21" s="20" t="n">
        <v>1.67996</v>
      </c>
      <c r="J21" s="20" t="n"/>
      <c r="K21" s="20" t="n"/>
      <c r="L21" s="20" t="n"/>
      <c r="M21" s="20" t="n"/>
      <c r="N21" s="20" t="n"/>
      <c r="O21" s="20" t="n"/>
      <c r="P21" s="20" t="n"/>
      <c r="Q21" s="20" t="n"/>
      <c r="R21" s="20" t="n"/>
      <c r="S21" s="20" t="n"/>
      <c r="T21" s="23">
        <f>IFERROR(AVERAGE(D21:S21),"")</f>
        <v/>
      </c>
    </row>
    <row r="22">
      <c r="A22" s="22" t="n">
        <v>43542</v>
      </c>
      <c r="B22" s="22" t="n">
        <v>43546</v>
      </c>
      <c r="C22">
        <f>TEXT(A22,"yyyy-mm")</f>
        <v/>
      </c>
      <c r="D22" s="20" t="n"/>
      <c r="E22" s="20" t="n">
        <v>1.69304</v>
      </c>
      <c r="F22" s="20" t="n">
        <v>1.706752</v>
      </c>
      <c r="G22" s="20" t="n">
        <v>1.708126</v>
      </c>
      <c r="H22" s="20" t="n">
        <v>1.740588</v>
      </c>
      <c r="I22" s="20" t="n">
        <v>1.717766</v>
      </c>
      <c r="J22" s="20" t="n"/>
      <c r="K22" s="20" t="n"/>
      <c r="L22" s="20" t="n"/>
      <c r="M22" s="20" t="n"/>
      <c r="N22" s="20" t="n"/>
      <c r="O22" s="20" t="n"/>
      <c r="P22" s="20" t="n"/>
      <c r="Q22" s="20" t="n"/>
      <c r="R22" s="20" t="n"/>
      <c r="S22" s="20" t="n"/>
      <c r="T22" s="23">
        <f>IFERROR(AVERAGE(D22:S22),"")</f>
        <v/>
      </c>
    </row>
    <row r="23">
      <c r="A23" s="22" t="n">
        <v>43549</v>
      </c>
      <c r="B23" s="22" t="n">
        <v>43553</v>
      </c>
      <c r="C23">
        <f>TEXT(A23,"yyyy-mm")</f>
        <v/>
      </c>
      <c r="D23" s="20" t="n"/>
      <c r="E23" s="20" t="n">
        <v>1.735908</v>
      </c>
      <c r="F23" s="20" t="n">
        <v>1.7496</v>
      </c>
      <c r="G23" s="20" t="n">
        <v>1.75102</v>
      </c>
      <c r="H23" s="20" t="n">
        <v>1.784656</v>
      </c>
      <c r="I23" s="20" t="n">
        <v>1.761822</v>
      </c>
      <c r="J23" s="20" t="n"/>
      <c r="K23" s="20" t="n"/>
      <c r="L23" s="20" t="n"/>
      <c r="M23" s="20" t="n"/>
      <c r="N23" s="20" t="n"/>
      <c r="O23" s="20" t="n"/>
      <c r="P23" s="20" t="n"/>
      <c r="Q23" s="20" t="n"/>
      <c r="R23" s="20" t="n"/>
      <c r="S23" s="20" t="n"/>
      <c r="T23" s="23">
        <f>IFERROR(AVERAGE(D23:S23),"")</f>
        <v/>
      </c>
    </row>
    <row r="24">
      <c r="A24" s="22" t="n">
        <v>43556</v>
      </c>
      <c r="B24" s="22" t="n">
        <v>43560</v>
      </c>
      <c r="C24">
        <f>TEXT(A24,"yyyy-mm")</f>
        <v/>
      </c>
      <c r="D24" s="20" t="n"/>
      <c r="E24" s="20" t="n">
        <v>1.747315999999999</v>
      </c>
      <c r="F24" s="20" t="n">
        <v>1.761016</v>
      </c>
      <c r="G24" s="20" t="n">
        <v>1.762414</v>
      </c>
      <c r="H24" s="20" t="n">
        <v>1.795936</v>
      </c>
      <c r="I24" s="20" t="n">
        <v>1.773126</v>
      </c>
      <c r="J24" s="20" t="n"/>
      <c r="K24" s="20" t="n"/>
      <c r="L24" s="20" t="n"/>
      <c r="M24" s="20" t="n"/>
      <c r="N24" s="20" t="n"/>
      <c r="O24" s="20" t="n"/>
      <c r="P24" s="20" t="n"/>
      <c r="Q24" s="20" t="n"/>
      <c r="R24" s="20" t="n"/>
      <c r="S24" s="20" t="n"/>
      <c r="T24" s="23">
        <f>IFERROR(AVERAGE(D24:S24),"")</f>
        <v/>
      </c>
    </row>
    <row r="25">
      <c r="A25" s="22" t="n">
        <v>43563</v>
      </c>
      <c r="B25" s="22" t="n">
        <v>43567</v>
      </c>
      <c r="C25">
        <f>TEXT(A25,"yyyy-mm")</f>
        <v/>
      </c>
      <c r="D25" s="20" t="n"/>
      <c r="E25" s="20" t="n">
        <v>1.828156</v>
      </c>
      <c r="F25" s="20" t="n">
        <v>1.841864</v>
      </c>
      <c r="G25" s="20" t="n">
        <v>1.843248</v>
      </c>
      <c r="H25" s="20" t="n">
        <v>1.875176</v>
      </c>
      <c r="I25" s="20" t="n">
        <v>1.85232</v>
      </c>
      <c r="J25" s="20" t="n"/>
      <c r="K25" s="20" t="n"/>
      <c r="L25" s="20" t="n"/>
      <c r="M25" s="20" t="n"/>
      <c r="N25" s="20" t="n"/>
      <c r="O25" s="20" t="n"/>
      <c r="P25" s="20" t="n"/>
      <c r="Q25" s="20" t="n"/>
      <c r="R25" s="20" t="n"/>
      <c r="S25" s="20" t="n"/>
      <c r="T25" s="23">
        <f>IFERROR(AVERAGE(D25:S25),"")</f>
        <v/>
      </c>
    </row>
    <row r="26">
      <c r="A26" s="22" t="n">
        <v>43570</v>
      </c>
      <c r="B26" s="22" t="n">
        <v>43574</v>
      </c>
      <c r="C26">
        <f>TEXT(A26,"yyyy-mm")</f>
        <v/>
      </c>
      <c r="D26" s="20" t="n"/>
      <c r="E26" s="20" t="n">
        <v>1.8643975</v>
      </c>
      <c r="F26" s="20" t="n">
        <v>1.87809</v>
      </c>
      <c r="G26" s="20" t="n">
        <v>1.8795025</v>
      </c>
      <c r="H26" s="20" t="n">
        <v>1.9098225</v>
      </c>
      <c r="I26" s="20" t="n">
        <v>1.8868425</v>
      </c>
      <c r="J26" s="20" t="n"/>
      <c r="K26" s="20" t="n"/>
      <c r="L26" s="20" t="n"/>
      <c r="M26" s="20" t="n"/>
      <c r="N26" s="20" t="n"/>
      <c r="O26" s="20" t="n"/>
      <c r="P26" s="20" t="n"/>
      <c r="Q26" s="20" t="n"/>
      <c r="R26" s="20" t="n"/>
      <c r="S26" s="20" t="n"/>
      <c r="T26" s="23">
        <f>IFERROR(AVERAGE(D26:S26),"")</f>
        <v/>
      </c>
    </row>
    <row r="27">
      <c r="A27" s="22" t="n">
        <v>43577</v>
      </c>
      <c r="B27" s="22" t="n">
        <v>43581</v>
      </c>
      <c r="C27">
        <f>TEXT(A27,"yyyy-mm")</f>
        <v/>
      </c>
      <c r="D27" s="20" t="n"/>
      <c r="E27" s="20" t="n">
        <v>1.95148</v>
      </c>
      <c r="F27" s="20" t="n">
        <v>1.965185</v>
      </c>
      <c r="G27" s="20" t="n">
        <v>1.966575</v>
      </c>
      <c r="H27" s="20" t="n">
        <v>1.996815</v>
      </c>
      <c r="I27" s="20" t="n">
        <v>1.973865</v>
      </c>
      <c r="J27" s="20" t="n"/>
      <c r="K27" s="20" t="n"/>
      <c r="L27" s="20" t="n"/>
      <c r="M27" s="20" t="n"/>
      <c r="N27" s="20" t="n"/>
      <c r="O27" s="20" t="n"/>
      <c r="P27" s="20" t="n"/>
      <c r="Q27" s="20" t="n"/>
      <c r="R27" s="20" t="n"/>
      <c r="S27" s="20" t="n"/>
      <c r="T27" s="23">
        <f>IFERROR(AVERAGE(D27:S27),"")</f>
        <v/>
      </c>
    </row>
    <row r="28">
      <c r="A28" s="22" t="n">
        <v>43584</v>
      </c>
      <c r="B28" s="22" t="n">
        <v>43588</v>
      </c>
      <c r="C28">
        <f>TEXT(A28,"yyyy-mm")</f>
        <v/>
      </c>
      <c r="D28" s="20" t="n"/>
      <c r="E28" s="20" t="n">
        <v>1.9453175</v>
      </c>
      <c r="F28" s="20" t="n">
        <v>1.95905</v>
      </c>
      <c r="G28" s="20" t="n">
        <v>1.96039</v>
      </c>
      <c r="H28" s="20" t="n">
        <v>1.9901825</v>
      </c>
      <c r="I28" s="20" t="n">
        <v>1.967295</v>
      </c>
      <c r="J28" s="20" t="n"/>
      <c r="K28" s="20" t="n"/>
      <c r="L28" s="20" t="n"/>
      <c r="M28" s="20" t="n"/>
      <c r="N28" s="20" t="n"/>
      <c r="O28" s="20" t="n"/>
      <c r="P28" s="20" t="n"/>
      <c r="Q28" s="20" t="n"/>
      <c r="R28" s="20" t="n"/>
      <c r="S28" s="20" t="n"/>
      <c r="T28" s="23">
        <f>IFERROR(AVERAGE(D28:S28),"")</f>
        <v/>
      </c>
    </row>
    <row r="29">
      <c r="A29" s="22" t="n">
        <v>43591</v>
      </c>
      <c r="B29" s="22" t="n">
        <v>43595</v>
      </c>
      <c r="C29">
        <f>TEXT(A29,"yyyy-mm")</f>
        <v/>
      </c>
      <c r="D29" s="20" t="n"/>
      <c r="E29" s="20" t="n">
        <v>1.90283</v>
      </c>
      <c r="F29" s="20" t="n">
        <v>1.9165575</v>
      </c>
      <c r="G29" s="20" t="n">
        <v>1.9179075</v>
      </c>
      <c r="H29" s="20" t="n">
        <v>1.9499225</v>
      </c>
      <c r="I29" s="20" t="n">
        <v>1.92712</v>
      </c>
      <c r="J29" s="20" t="n"/>
      <c r="K29" s="20" t="n"/>
      <c r="L29" s="20" t="n"/>
      <c r="M29" s="20" t="n"/>
      <c r="N29" s="20" t="n"/>
      <c r="O29" s="20" t="n"/>
      <c r="P29" s="20" t="n"/>
      <c r="Q29" s="20" t="n"/>
      <c r="R29" s="20" t="n"/>
      <c r="S29" s="20" t="n"/>
      <c r="T29" s="23">
        <f>IFERROR(AVERAGE(D29:S29),"")</f>
        <v/>
      </c>
    </row>
    <row r="30">
      <c r="A30" s="22" t="n">
        <v>43598</v>
      </c>
      <c r="B30" s="22" t="n">
        <v>43602</v>
      </c>
      <c r="C30">
        <f>TEXT(A30,"yyyy-mm")</f>
        <v/>
      </c>
      <c r="D30" s="20" t="n"/>
      <c r="E30" s="20" t="n">
        <v>1.921815</v>
      </c>
      <c r="F30" s="20" t="n">
        <v>1.935505</v>
      </c>
      <c r="G30" s="20" t="n">
        <v>1.9487225</v>
      </c>
      <c r="H30" s="20" t="n">
        <v>1.9695325</v>
      </c>
      <c r="I30" s="20" t="n">
        <v>1.9466525</v>
      </c>
      <c r="J30" s="20" t="n"/>
      <c r="K30" s="20" t="n"/>
      <c r="L30" s="20" t="n"/>
      <c r="M30" s="20" t="n"/>
      <c r="N30" s="20" t="n"/>
      <c r="O30" s="20" t="n"/>
      <c r="P30" s="20" t="n"/>
      <c r="Q30" s="20" t="n"/>
      <c r="R30" s="20" t="n"/>
      <c r="S30" s="20" t="n"/>
      <c r="T30" s="23">
        <f>IFERROR(AVERAGE(D30:S30),"")</f>
        <v/>
      </c>
    </row>
    <row r="31">
      <c r="A31" s="22" t="n">
        <v>43605</v>
      </c>
      <c r="B31" s="22" t="n">
        <v>43609</v>
      </c>
      <c r="C31">
        <f>TEXT(A31,"yyyy-mm")</f>
        <v/>
      </c>
      <c r="D31" s="20" t="n"/>
      <c r="E31" s="20" t="n">
        <v>1.9929</v>
      </c>
      <c r="F31" s="20" t="n">
        <v>2.006585</v>
      </c>
      <c r="G31" s="20" t="n">
        <v>2.0080175</v>
      </c>
      <c r="H31" s="20" t="n">
        <v>2.0405125</v>
      </c>
      <c r="I31" s="20" t="n">
        <v>2.0176025</v>
      </c>
      <c r="J31" s="20" t="n"/>
      <c r="K31" s="20" t="n"/>
      <c r="L31" s="20" t="n"/>
      <c r="M31" s="20" t="n"/>
      <c r="N31" s="20" t="n"/>
      <c r="O31" s="20" t="n"/>
      <c r="P31" s="20" t="n"/>
      <c r="Q31" s="20" t="n"/>
      <c r="R31" s="20" t="n"/>
      <c r="S31" s="20" t="n"/>
      <c r="T31" s="23">
        <f>IFERROR(AVERAGE(D31:S31),"")</f>
        <v/>
      </c>
    </row>
    <row r="32">
      <c r="A32" s="22" t="n">
        <v>43612</v>
      </c>
      <c r="B32" s="22" t="n">
        <v>43616</v>
      </c>
      <c r="C32">
        <f>TEXT(A32,"yyyy-mm")</f>
        <v/>
      </c>
      <c r="D32" s="20" t="n"/>
      <c r="E32" s="20" t="n">
        <v>1.85408</v>
      </c>
      <c r="F32" s="20" t="n">
        <v>1.867785</v>
      </c>
      <c r="G32" s="20" t="n">
        <v>1.8691775</v>
      </c>
      <c r="H32" s="20" t="n">
        <v>1.90061</v>
      </c>
      <c r="I32" s="20" t="n">
        <v>1.877715</v>
      </c>
      <c r="J32" s="20" t="n"/>
      <c r="K32" s="20" t="n"/>
      <c r="L32" s="20" t="n"/>
      <c r="M32" s="20" t="n"/>
      <c r="N32" s="20" t="n"/>
      <c r="O32" s="20" t="n"/>
      <c r="P32" s="20" t="n"/>
      <c r="Q32" s="20" t="n"/>
      <c r="R32" s="20" t="n"/>
      <c r="S32" s="20" t="n"/>
      <c r="T32" s="23">
        <f>IFERROR(AVERAGE(D32:S32),"")</f>
        <v/>
      </c>
    </row>
    <row r="33">
      <c r="A33" s="22" t="n">
        <v>43619</v>
      </c>
      <c r="B33" s="22" t="n">
        <v>43623</v>
      </c>
      <c r="C33">
        <f>TEXT(A33,"yyyy-mm")</f>
        <v/>
      </c>
      <c r="D33" s="20" t="n"/>
      <c r="E33" s="20" t="n">
        <v>1.63916</v>
      </c>
      <c r="F33" s="20" t="n">
        <v>1.652914</v>
      </c>
      <c r="G33" s="20" t="n">
        <v>1.654202</v>
      </c>
      <c r="H33" s="20" t="n">
        <v>1.68344</v>
      </c>
      <c r="I33" s="20" t="n">
        <v>1.660606</v>
      </c>
      <c r="J33" s="20" t="n"/>
      <c r="K33" s="20" t="n"/>
      <c r="L33" s="20" t="n"/>
      <c r="M33" s="20" t="n"/>
      <c r="N33" s="20" t="n"/>
      <c r="O33" s="20" t="n"/>
      <c r="P33" s="20" t="n"/>
      <c r="Q33" s="20" t="n"/>
      <c r="R33" s="20" t="n"/>
      <c r="S33" s="20" t="n"/>
      <c r="T33" s="23">
        <f>IFERROR(AVERAGE(D33:S33),"")</f>
        <v/>
      </c>
    </row>
    <row r="34">
      <c r="A34" s="22" t="n">
        <v>43626</v>
      </c>
      <c r="B34" s="22" t="n">
        <v>43630</v>
      </c>
      <c r="C34">
        <f>TEXT(A34,"yyyy-mm")</f>
        <v/>
      </c>
      <c r="D34" s="20" t="n"/>
      <c r="E34" s="20" t="n">
        <v>1.623026</v>
      </c>
      <c r="F34" s="20" t="n">
        <v>1.636792</v>
      </c>
      <c r="G34" s="20" t="n">
        <v>1.638058</v>
      </c>
      <c r="H34" s="20" t="n">
        <v>1.66683</v>
      </c>
      <c r="I34" s="20" t="n">
        <v>1.644012</v>
      </c>
      <c r="J34" s="20" t="n"/>
      <c r="K34" s="20" t="n"/>
      <c r="L34" s="20" t="n"/>
      <c r="M34" s="20" t="n"/>
      <c r="N34" s="20" t="n"/>
      <c r="O34" s="20" t="n"/>
      <c r="P34" s="20" t="n"/>
      <c r="Q34" s="20" t="n"/>
      <c r="R34" s="20" t="n"/>
      <c r="S34" s="20" t="n"/>
      <c r="T34" s="23">
        <f>IFERROR(AVERAGE(D34:S34),"")</f>
        <v/>
      </c>
    </row>
    <row r="35">
      <c r="A35" s="22" t="n">
        <v>43633</v>
      </c>
      <c r="B35" s="22" t="n">
        <v>43637</v>
      </c>
      <c r="C35">
        <f>TEXT(A35,"yyyy-mm")</f>
        <v/>
      </c>
      <c r="D35" s="20" t="n"/>
      <c r="E35" s="20" t="n">
        <v>1.6304</v>
      </c>
      <c r="F35" s="20" t="n">
        <v>1.6441</v>
      </c>
      <c r="G35" s="20" t="n">
        <v>1.6455</v>
      </c>
      <c r="H35" s="20" t="n">
        <v>1.677</v>
      </c>
      <c r="I35" s="20" t="n">
        <v>1.6542</v>
      </c>
      <c r="J35" s="20" t="n"/>
      <c r="K35" s="20" t="n"/>
      <c r="L35" s="20" t="n"/>
      <c r="M35" s="20" t="n"/>
      <c r="N35" s="20" t="n"/>
      <c r="O35" s="20" t="n"/>
      <c r="P35" s="20" t="n"/>
      <c r="Q35" s="20" t="n"/>
      <c r="R35" s="20" t="n"/>
      <c r="S35" s="20" t="n"/>
      <c r="T35" s="23">
        <f>IFERROR(AVERAGE(D35:S35),"")</f>
        <v/>
      </c>
    </row>
    <row r="36">
      <c r="A36" s="22" t="n">
        <v>43640</v>
      </c>
      <c r="B36" s="22" t="n">
        <v>43644</v>
      </c>
      <c r="C36">
        <f>TEXT(A36,"yyyy-mm")</f>
        <v/>
      </c>
      <c r="D36" s="20" t="n"/>
      <c r="E36" s="20" t="n">
        <v>1.7009</v>
      </c>
      <c r="F36" s="20" t="n">
        <v>1.7146</v>
      </c>
      <c r="G36" s="20" t="n">
        <v>1.716</v>
      </c>
      <c r="H36" s="20" t="n">
        <v>1.7494</v>
      </c>
      <c r="I36" s="20" t="n">
        <v>1.7265</v>
      </c>
      <c r="J36" s="20" t="n"/>
      <c r="K36" s="20" t="n"/>
      <c r="L36" s="20" t="n"/>
      <c r="M36" s="20" t="n"/>
      <c r="N36" s="20" t="n"/>
      <c r="O36" s="20" t="n"/>
      <c r="P36" s="20" t="n"/>
      <c r="Q36" s="20" t="n"/>
      <c r="R36" s="20" t="n"/>
      <c r="S36" s="20" t="n"/>
      <c r="T36" s="23">
        <f>IFERROR(AVERAGE(D36:S36),"")</f>
        <v/>
      </c>
    </row>
    <row r="37">
      <c r="A37" s="22" t="n">
        <v>43647</v>
      </c>
      <c r="B37" s="22" t="n">
        <v>43651</v>
      </c>
      <c r="C37">
        <f>TEXT(A37,"yyyy-mm")</f>
        <v/>
      </c>
      <c r="D37" s="20" t="n"/>
      <c r="E37" s="20" t="n">
        <v>1.7228</v>
      </c>
      <c r="F37" s="20" t="n">
        <v>1.7365</v>
      </c>
      <c r="G37" s="20" t="n">
        <v>1.7379</v>
      </c>
      <c r="H37" s="20" t="n">
        <v>1.7714</v>
      </c>
      <c r="I37" s="20" t="n">
        <v>1.7485</v>
      </c>
      <c r="J37" s="20" t="n"/>
      <c r="K37" s="20" t="n"/>
      <c r="L37" s="20" t="n"/>
      <c r="M37" s="20" t="n"/>
      <c r="N37" s="20" t="n"/>
      <c r="O37" s="20" t="n"/>
      <c r="P37" s="20" t="n"/>
      <c r="Q37" s="20" t="n"/>
      <c r="R37" s="20" t="n"/>
      <c r="S37" s="20" t="n"/>
      <c r="T37" s="23">
        <f>IFERROR(AVERAGE(D37:S37),"")</f>
        <v/>
      </c>
    </row>
    <row r="38">
      <c r="A38" s="22" t="n">
        <v>43654</v>
      </c>
      <c r="B38" s="22" t="n">
        <v>43658</v>
      </c>
      <c r="C38">
        <f>TEXT(A38,"yyyy-mm")</f>
        <v/>
      </c>
      <c r="D38" s="20" t="n"/>
      <c r="E38" s="20" t="n">
        <v>1.7369</v>
      </c>
      <c r="F38" s="20" t="n">
        <v>1.7506</v>
      </c>
      <c r="G38" s="20" t="n">
        <v>1.7519</v>
      </c>
      <c r="H38" s="20" t="n">
        <v>1.7819</v>
      </c>
      <c r="I38" s="20" t="n">
        <v>1.759</v>
      </c>
      <c r="J38" s="20" t="n"/>
      <c r="K38" s="20" t="n"/>
      <c r="L38" s="20" t="n"/>
      <c r="M38" s="20" t="n"/>
      <c r="N38" s="20" t="n"/>
      <c r="O38" s="20" t="n"/>
      <c r="P38" s="20" t="n"/>
      <c r="Q38" s="20" t="n"/>
      <c r="R38" s="20" t="n"/>
      <c r="S38" s="20" t="n"/>
      <c r="T38" s="23">
        <f>IFERROR(AVERAGE(D38:S38),"")</f>
        <v/>
      </c>
    </row>
    <row r="39">
      <c r="A39" s="22" t="n">
        <v>43661</v>
      </c>
      <c r="B39" s="22" t="n">
        <v>43665</v>
      </c>
      <c r="C39">
        <f>TEXT(A39,"yyyy-mm")</f>
        <v/>
      </c>
      <c r="D39" s="20" t="n"/>
      <c r="E39" s="20" t="n">
        <v>1.7145</v>
      </c>
      <c r="F39" s="20" t="n">
        <v>1.7283</v>
      </c>
      <c r="G39" s="20" t="n">
        <v>1.7295</v>
      </c>
      <c r="H39" s="20" t="n">
        <v>1.7592</v>
      </c>
      <c r="I39" s="20" t="n">
        <v>1.7363</v>
      </c>
      <c r="J39" s="20" t="n"/>
      <c r="K39" s="20" t="n"/>
      <c r="L39" s="20" t="n"/>
      <c r="M39" s="20" t="n"/>
      <c r="N39" s="20" t="n"/>
      <c r="O39" s="20" t="n"/>
      <c r="P39" s="20" t="n"/>
      <c r="Q39" s="20" t="n"/>
      <c r="R39" s="20" t="n"/>
      <c r="S39" s="20" t="n"/>
      <c r="T39" s="23">
        <f>IFERROR(AVERAGE(D39:S39),"")</f>
        <v/>
      </c>
    </row>
    <row r="40">
      <c r="A40" s="22" t="n">
        <v>43668</v>
      </c>
      <c r="B40" s="22" t="n">
        <v>43672</v>
      </c>
      <c r="C40">
        <f>TEXT(A40,"yyyy-mm")</f>
        <v/>
      </c>
      <c r="D40" s="20" t="n"/>
      <c r="E40" s="20" t="n">
        <v>1.6995</v>
      </c>
      <c r="F40" s="20" t="n">
        <v>1.7133</v>
      </c>
      <c r="G40" s="20" t="n">
        <v>1.7146</v>
      </c>
      <c r="H40" s="20" t="n">
        <v>1.7473</v>
      </c>
      <c r="I40" s="20" t="n">
        <v>1.7244</v>
      </c>
      <c r="J40" s="20" t="n"/>
      <c r="K40" s="20" t="n"/>
      <c r="L40" s="20" t="n"/>
      <c r="M40" s="20" t="n"/>
      <c r="N40" s="20" t="n"/>
      <c r="O40" s="20" t="n"/>
      <c r="P40" s="20" t="n"/>
      <c r="Q40" s="20" t="n"/>
      <c r="R40" s="20" t="n"/>
      <c r="S40" s="20" t="n"/>
      <c r="T40" s="23">
        <f>IFERROR(AVERAGE(D40:S40),"")</f>
        <v/>
      </c>
    </row>
    <row r="41">
      <c r="A41" s="22" t="n">
        <v>43675</v>
      </c>
      <c r="B41" s="22" t="n">
        <v>43679</v>
      </c>
      <c r="C41">
        <f>TEXT(A41,"yyyy-mm")</f>
        <v/>
      </c>
      <c r="D41" s="20" t="n"/>
      <c r="E41" s="20" t="n">
        <v>1.7496</v>
      </c>
      <c r="F41" s="20" t="n">
        <v>1.7633</v>
      </c>
      <c r="G41" s="20" t="n">
        <v>1.7646</v>
      </c>
      <c r="H41" s="20" t="n">
        <v>1.7973</v>
      </c>
      <c r="I41" s="20" t="n">
        <v>1.7743</v>
      </c>
      <c r="J41" s="20" t="n"/>
      <c r="K41" s="20" t="n"/>
      <c r="L41" s="20" t="n"/>
      <c r="M41" s="20" t="n"/>
      <c r="N41" s="20" t="n"/>
      <c r="O41" s="20" t="n"/>
      <c r="P41" s="20" t="n"/>
      <c r="Q41" s="20" t="n"/>
      <c r="R41" s="20" t="n"/>
      <c r="S41" s="20" t="n"/>
      <c r="T41" s="23">
        <f>IFERROR(AVERAGE(D41:S41),"")</f>
        <v/>
      </c>
    </row>
    <row r="42">
      <c r="A42" s="22" t="n">
        <v>43682</v>
      </c>
      <c r="B42" s="22" t="n">
        <v>43686</v>
      </c>
      <c r="C42">
        <f>TEXT(A42,"yyyy-mm")</f>
        <v/>
      </c>
      <c r="D42" s="20" t="n"/>
      <c r="E42" s="20" t="n">
        <v>1.6803</v>
      </c>
      <c r="F42" s="20" t="n">
        <v>1.694</v>
      </c>
      <c r="G42" s="20" t="n">
        <v>1.6954</v>
      </c>
      <c r="H42" s="20" t="n">
        <v>1.7297</v>
      </c>
      <c r="I42" s="20" t="n">
        <v>1.7066</v>
      </c>
      <c r="J42" s="20" t="n"/>
      <c r="K42" s="20" t="n"/>
      <c r="L42" s="20" t="n"/>
      <c r="M42" s="20" t="n"/>
      <c r="N42" s="20" t="n"/>
      <c r="O42" s="20" t="n"/>
      <c r="P42" s="20" t="n"/>
      <c r="Q42" s="20" t="n"/>
      <c r="R42" s="20" t="n"/>
      <c r="S42" s="20" t="n"/>
      <c r="T42" s="23">
        <f>IFERROR(AVERAGE(D42:S42),"")</f>
        <v/>
      </c>
    </row>
    <row r="43">
      <c r="A43" s="22" t="n">
        <v>43689</v>
      </c>
      <c r="B43" s="22" t="n">
        <v>43693</v>
      </c>
      <c r="C43">
        <f>TEXT(A43,"yyyy-mm")</f>
        <v/>
      </c>
      <c r="D43" s="20" t="n"/>
      <c r="E43" s="20" t="n">
        <v>1.6811</v>
      </c>
      <c r="F43" s="20" t="n">
        <v>1.6948</v>
      </c>
      <c r="G43" s="20" t="n">
        <v>1.6962</v>
      </c>
      <c r="H43" s="20" t="n">
        <v>1.7302</v>
      </c>
      <c r="I43" s="20" t="n">
        <v>1.707</v>
      </c>
      <c r="J43" s="20" t="n"/>
      <c r="K43" s="20" t="n"/>
      <c r="L43" s="20" t="n"/>
      <c r="M43" s="20" t="n"/>
      <c r="N43" s="20" t="n"/>
      <c r="O43" s="20" t="n"/>
      <c r="P43" s="20" t="n"/>
      <c r="Q43" s="20" t="n"/>
      <c r="R43" s="20" t="n"/>
      <c r="S43" s="20" t="n"/>
      <c r="T43" s="23">
        <f>IFERROR(AVERAGE(D43:S43),"")</f>
        <v/>
      </c>
    </row>
    <row r="44">
      <c r="A44" s="22" t="n">
        <v>43696</v>
      </c>
      <c r="B44" s="22" t="n">
        <v>43700</v>
      </c>
      <c r="C44">
        <f>TEXT(A44,"yyyy-mm")</f>
        <v/>
      </c>
      <c r="D44" s="20" t="n"/>
      <c r="E44" s="20" t="n">
        <v>1.6406</v>
      </c>
      <c r="F44" s="20" t="n">
        <v>1.6543</v>
      </c>
      <c r="G44" s="20" t="n">
        <v>1.6557</v>
      </c>
      <c r="H44" s="20" t="n">
        <v>1.6895</v>
      </c>
      <c r="I44" s="20" t="n">
        <v>1.6664</v>
      </c>
      <c r="J44" s="20" t="n"/>
      <c r="K44" s="20" t="n"/>
      <c r="L44" s="20" t="n"/>
      <c r="M44" s="20" t="n"/>
      <c r="N44" s="20" t="n"/>
      <c r="O44" s="20" t="n"/>
      <c r="P44" s="20" t="n"/>
      <c r="Q44" s="20" t="n"/>
      <c r="R44" s="20" t="n"/>
      <c r="S44" s="20" t="n"/>
      <c r="T44" s="23">
        <f>IFERROR(AVERAGE(D44:S44),"")</f>
        <v/>
      </c>
    </row>
    <row r="45">
      <c r="A45" s="22" t="n">
        <v>43703</v>
      </c>
      <c r="B45" s="22" t="n">
        <v>43707</v>
      </c>
      <c r="C45">
        <f>TEXT(A45,"yyyy-mm")</f>
        <v/>
      </c>
      <c r="D45" s="20" t="n"/>
      <c r="E45" s="20" t="n">
        <v>1.556</v>
      </c>
      <c r="F45" s="20" t="n">
        <v>1.5697</v>
      </c>
      <c r="G45" s="20" t="n">
        <v>1.5712</v>
      </c>
      <c r="H45" s="20" t="n">
        <v>1.6068</v>
      </c>
      <c r="I45" s="20" t="n">
        <v>1.5837</v>
      </c>
      <c r="J45" s="20" t="n"/>
      <c r="K45" s="20" t="n"/>
      <c r="L45" s="20" t="n"/>
      <c r="M45" s="20" t="n"/>
      <c r="N45" s="20" t="n"/>
      <c r="O45" s="20" t="n"/>
      <c r="P45" s="20" t="n"/>
      <c r="Q45" s="20" t="n"/>
      <c r="R45" s="20" t="n"/>
      <c r="S45" s="20" t="n"/>
      <c r="T45" s="23">
        <f>IFERROR(AVERAGE(D45:S45),"")</f>
        <v/>
      </c>
    </row>
    <row r="46">
      <c r="A46" s="22" t="n">
        <v>43710</v>
      </c>
      <c r="B46" s="22" t="n">
        <v>43714</v>
      </c>
      <c r="C46">
        <f>TEXT(A46,"yyyy-mm")</f>
        <v/>
      </c>
      <c r="D46" s="20" t="n">
        <v>1.56833</v>
      </c>
      <c r="E46" s="20" t="n">
        <v>1.58206</v>
      </c>
      <c r="F46" s="20" t="n">
        <v>1.56833</v>
      </c>
      <c r="G46" s="20" t="n">
        <v>1.569793</v>
      </c>
      <c r="H46" s="20" t="n">
        <v>1.612183</v>
      </c>
      <c r="I46" s="20" t="n">
        <v>1.600593</v>
      </c>
      <c r="J46" s="20" t="n">
        <v>1.59458</v>
      </c>
      <c r="K46" s="20" t="n">
        <v>1.624593</v>
      </c>
      <c r="L46" s="20" t="n">
        <v>1.67764</v>
      </c>
      <c r="M46" s="20" t="n">
        <v>1.684678</v>
      </c>
      <c r="N46" s="20" t="n">
        <v>1.62083</v>
      </c>
      <c r="O46" s="20" t="n">
        <v>1.638248</v>
      </c>
      <c r="P46" s="20" t="n">
        <v>1.645648</v>
      </c>
      <c r="Q46" s="20" t="n">
        <v>1.643408</v>
      </c>
      <c r="R46" s="20" t="n">
        <v>1.619163</v>
      </c>
      <c r="S46" s="20" t="n">
        <v>1.61393</v>
      </c>
      <c r="T46" s="23">
        <f>IFERROR(AVERAGE(D46:S46),"")</f>
        <v/>
      </c>
    </row>
    <row r="47">
      <c r="A47" s="22" t="n">
        <v>43717</v>
      </c>
      <c r="B47" s="22" t="n">
        <v>43721</v>
      </c>
      <c r="C47">
        <f>TEXT(A47,"yyyy-mm")</f>
        <v/>
      </c>
      <c r="D47" s="20" t="n">
        <v>1.598412</v>
      </c>
      <c r="E47" s="20" t="n">
        <v>1.612116</v>
      </c>
      <c r="F47" s="20" t="n">
        <v>1.598412</v>
      </c>
      <c r="G47" s="20" t="n">
        <v>1.599816</v>
      </c>
      <c r="H47" s="20" t="n">
        <v>1.64085</v>
      </c>
      <c r="I47" s="20" t="n">
        <v>1.6293</v>
      </c>
      <c r="J47" s="20" t="n">
        <v>1.623172</v>
      </c>
      <c r="K47" s="20" t="n">
        <v>1.654672</v>
      </c>
      <c r="L47" s="20" t="n">
        <v>1.706304</v>
      </c>
      <c r="M47" s="20" t="n">
        <v>1.713344</v>
      </c>
      <c r="N47" s="20" t="n">
        <v>1.649494</v>
      </c>
      <c r="O47" s="20" t="n">
        <v>1.666914</v>
      </c>
      <c r="P47" s="20" t="n">
        <v>1.674314</v>
      </c>
      <c r="Q47" s="20" t="n">
        <v>1.672074</v>
      </c>
      <c r="R47" s="20" t="n">
        <v>1.647868</v>
      </c>
      <c r="S47" s="20" t="n">
        <v>1.642522</v>
      </c>
      <c r="T47" s="23">
        <f>IFERROR(AVERAGE(D47:S47),"")</f>
        <v/>
      </c>
    </row>
    <row r="48">
      <c r="A48" s="22" t="n">
        <v>43724</v>
      </c>
      <c r="B48" s="22" t="n">
        <v>43728</v>
      </c>
      <c r="C48">
        <f>TEXT(A48,"yyyy-mm")</f>
        <v/>
      </c>
      <c r="D48" s="20" t="n">
        <v>1.696246</v>
      </c>
      <c r="E48" s="20" t="n">
        <v>1.709912</v>
      </c>
      <c r="F48" s="20" t="n">
        <v>1.696246</v>
      </c>
      <c r="G48" s="20" t="n">
        <v>1.697578</v>
      </c>
      <c r="H48" s="20" t="n">
        <v>1.738114</v>
      </c>
      <c r="I48" s="20" t="n">
        <v>1.726666</v>
      </c>
      <c r="J48" s="20" t="n">
        <v>1.720304</v>
      </c>
      <c r="K48" s="20" t="n">
        <v>1.752506</v>
      </c>
      <c r="L48" s="20" t="n">
        <v>1.803574</v>
      </c>
      <c r="M48" s="20" t="n">
        <v>1.810608</v>
      </c>
      <c r="N48" s="20" t="n">
        <v>1.746764</v>
      </c>
      <c r="O48" s="20" t="n">
        <v>1.764178</v>
      </c>
      <c r="P48" s="20" t="n">
        <v>1.771578</v>
      </c>
      <c r="Q48" s="20" t="n">
        <v>1.769338</v>
      </c>
      <c r="R48" s="20" t="n">
        <v>1.745232</v>
      </c>
      <c r="S48" s="20" t="n">
        <v>1.739654</v>
      </c>
      <c r="T48" s="23">
        <f>IFERROR(AVERAGE(D48:S48),"")</f>
        <v/>
      </c>
    </row>
    <row r="49">
      <c r="A49" s="22" t="n">
        <v>43731</v>
      </c>
      <c r="B49" s="22" t="n">
        <v>43735</v>
      </c>
      <c r="C49">
        <f>TEXT(A49,"yyyy-mm")</f>
        <v/>
      </c>
      <c r="D49" s="20" t="n">
        <v>1.701888</v>
      </c>
      <c r="E49" s="20" t="n">
        <v>1.715564</v>
      </c>
      <c r="F49" s="20" t="n">
        <v>1.701888</v>
      </c>
      <c r="G49" s="20" t="n">
        <v>1.703242</v>
      </c>
      <c r="H49" s="20" t="n">
        <v>1.743742</v>
      </c>
      <c r="I49" s="20" t="n">
        <v>1.732258</v>
      </c>
      <c r="J49" s="20" t="n">
        <v>1.72597</v>
      </c>
      <c r="K49" s="20" t="n">
        <v>1.75815</v>
      </c>
      <c r="L49" s="20" t="n">
        <v>1.809198</v>
      </c>
      <c r="M49" s="20" t="n">
        <v>1.816236</v>
      </c>
      <c r="N49" s="20" t="n">
        <v>1.752388</v>
      </c>
      <c r="O49" s="20" t="n">
        <v>1.769804</v>
      </c>
      <c r="P49" s="20" t="n">
        <v>1.777204</v>
      </c>
      <c r="Q49" s="20" t="n">
        <v>1.774964</v>
      </c>
      <c r="R49" s="20" t="n">
        <v>1.750826</v>
      </c>
      <c r="S49" s="20" t="n">
        <v>1.745322</v>
      </c>
      <c r="T49" s="23">
        <f>IFERROR(AVERAGE(D49:S49),"")</f>
        <v/>
      </c>
    </row>
    <row r="50">
      <c r="A50" s="22" t="n">
        <v>43738</v>
      </c>
      <c r="B50" s="22" t="n">
        <v>43742</v>
      </c>
      <c r="C50">
        <f>TEXT(A50,"yyyy-mm")</f>
        <v/>
      </c>
      <c r="D50" s="20" t="n">
        <v>1.621876</v>
      </c>
      <c r="E50" s="20" t="n">
        <v>1.63558</v>
      </c>
      <c r="F50" s="20" t="n">
        <v>1.621876</v>
      </c>
      <c r="G50" s="20" t="n">
        <v>1.623282</v>
      </c>
      <c r="H50" s="20" t="n">
        <v>1.664508</v>
      </c>
      <c r="I50" s="20" t="n">
        <v>1.65296</v>
      </c>
      <c r="J50" s="20" t="n">
        <v>1.646832</v>
      </c>
      <c r="K50" s="20" t="n">
        <v>1.678136</v>
      </c>
      <c r="L50" s="20" t="n">
        <v>1.729966</v>
      </c>
      <c r="M50" s="20" t="n">
        <v>1.737</v>
      </c>
      <c r="N50" s="20" t="n">
        <v>1.673156</v>
      </c>
      <c r="O50" s="20" t="n">
        <v>1.69057</v>
      </c>
      <c r="P50" s="20" t="n">
        <v>1.69797</v>
      </c>
      <c r="Q50" s="20" t="n">
        <v>1.69573</v>
      </c>
      <c r="R50" s="20" t="n">
        <v>1.67153</v>
      </c>
      <c r="S50" s="20" t="n">
        <v>1.666182</v>
      </c>
      <c r="T50" s="23">
        <f>IFERROR(AVERAGE(D50:S50),"")</f>
        <v/>
      </c>
    </row>
    <row r="51">
      <c r="A51" s="22" t="n">
        <v>43745</v>
      </c>
      <c r="B51" s="22" t="n">
        <v>43749</v>
      </c>
      <c r="C51">
        <f>TEXT(A51,"yyyy-mm")</f>
        <v/>
      </c>
      <c r="D51" s="20" t="n">
        <v>1.640566</v>
      </c>
      <c r="E51" s="20" t="n">
        <v>1.65432</v>
      </c>
      <c r="F51" s="20" t="n">
        <v>1.640566</v>
      </c>
      <c r="G51" s="20" t="n">
        <v>1.642072</v>
      </c>
      <c r="H51" s="20" t="n">
        <v>1.687612</v>
      </c>
      <c r="I51" s="20" t="n">
        <v>1.676044</v>
      </c>
      <c r="J51" s="20" t="n">
        <v>1.670026</v>
      </c>
      <c r="K51" s="20" t="n">
        <v>1.696826</v>
      </c>
      <c r="L51" s="20" t="n">
        <v>1.75307</v>
      </c>
      <c r="M51" s="20" t="n">
        <v>1.760106</v>
      </c>
      <c r="N51" s="20" t="n">
        <v>1.69626</v>
      </c>
      <c r="O51" s="20" t="n">
        <v>1.713674</v>
      </c>
      <c r="P51" s="20" t="n">
        <v>1.721074</v>
      </c>
      <c r="Q51" s="20" t="n">
        <v>1.718834</v>
      </c>
      <c r="R51" s="20" t="n">
        <v>1.69461</v>
      </c>
      <c r="S51" s="20" t="n">
        <v>1.689376</v>
      </c>
      <c r="T51" s="23">
        <f>IFERROR(AVERAGE(D51:S51),"")</f>
        <v/>
      </c>
    </row>
    <row r="52">
      <c r="A52" s="22" t="n">
        <v>43752</v>
      </c>
      <c r="B52" s="22" t="n">
        <v>43756</v>
      </c>
      <c r="C52">
        <f>TEXT(A52,"yyyy-mm")</f>
        <v/>
      </c>
      <c r="D52" s="20" t="n">
        <v>1.727456</v>
      </c>
      <c r="E52" s="20" t="n">
        <v>1.741316</v>
      </c>
      <c r="F52" s="20" t="n">
        <v>1.727456</v>
      </c>
      <c r="G52" s="20" t="n">
        <v>1.729178</v>
      </c>
      <c r="H52" s="20" t="n">
        <v>1.779102</v>
      </c>
      <c r="I52" s="20" t="n">
        <v>1.767336</v>
      </c>
      <c r="J52" s="20" t="n">
        <v>1.761838</v>
      </c>
      <c r="K52" s="20" t="n">
        <v>1.783718</v>
      </c>
      <c r="L52" s="20" t="n">
        <v>1.844562</v>
      </c>
      <c r="M52" s="20" t="n">
        <v>1.8516</v>
      </c>
      <c r="N52" s="20" t="n">
        <v>1.787752</v>
      </c>
      <c r="O52" s="20" t="n">
        <v>1.805168</v>
      </c>
      <c r="P52" s="20" t="n">
        <v>1.812568</v>
      </c>
      <c r="Q52" s="20" t="n">
        <v>1.810328</v>
      </c>
      <c r="R52" s="20" t="n">
        <v>1.785904</v>
      </c>
      <c r="S52" s="20" t="n">
        <v>1.781188</v>
      </c>
      <c r="T52" s="23">
        <f>IFERROR(AVERAGE(D52:S52),"")</f>
        <v/>
      </c>
    </row>
    <row r="53">
      <c r="A53" s="22" t="n">
        <v>43759</v>
      </c>
      <c r="B53" s="22" t="n">
        <v>43763</v>
      </c>
      <c r="C53">
        <f>TEXT(A53,"yyyy-mm")</f>
        <v/>
      </c>
      <c r="D53" s="20" t="n">
        <v>1.7074</v>
      </c>
      <c r="E53" s="20" t="n">
        <v>1.721144</v>
      </c>
      <c r="F53" s="20" t="n">
        <v>1.7074</v>
      </c>
      <c r="G53" s="20" t="n">
        <v>1.708884</v>
      </c>
      <c r="H53" s="20" t="n">
        <v>1.755378</v>
      </c>
      <c r="I53" s="20" t="n">
        <v>1.743872</v>
      </c>
      <c r="J53" s="20" t="n">
        <v>1.73772</v>
      </c>
      <c r="K53" s="20" t="n">
        <v>1.76366</v>
      </c>
      <c r="L53" s="20" t="n">
        <v>1.820836</v>
      </c>
      <c r="M53" s="20" t="n">
        <v>1.827872</v>
      </c>
      <c r="N53" s="20" t="n">
        <v>1.764026</v>
      </c>
      <c r="O53" s="20" t="n">
        <v>1.781442</v>
      </c>
      <c r="P53" s="20" t="n">
        <v>1.788842</v>
      </c>
      <c r="Q53" s="20" t="n">
        <v>1.786602</v>
      </c>
      <c r="R53" s="20" t="n">
        <v>1.762438</v>
      </c>
      <c r="S53" s="20" t="n">
        <v>1.757072</v>
      </c>
      <c r="T53" s="23">
        <f>IFERROR(AVERAGE(D53:S53),"")</f>
        <v/>
      </c>
    </row>
    <row r="54">
      <c r="A54" s="22" t="n">
        <v>43766</v>
      </c>
      <c r="B54" s="22" t="n">
        <v>43770</v>
      </c>
      <c r="C54">
        <f>TEXT(A54,"yyyy-mm")</f>
        <v/>
      </c>
      <c r="D54" s="20" t="n">
        <v>1.711706</v>
      </c>
      <c r="E54" s="20" t="n">
        <v>1.725428</v>
      </c>
      <c r="F54" s="20" t="n">
        <v>1.711706</v>
      </c>
      <c r="G54" s="20" t="n">
        <v>1.713156</v>
      </c>
      <c r="H54" s="20" t="n">
        <v>1.758632</v>
      </c>
      <c r="I54" s="20" t="n">
        <v>1.747152</v>
      </c>
      <c r="J54" s="20" t="n">
        <v>1.740928</v>
      </c>
      <c r="K54" s="20" t="n">
        <v>1.767968</v>
      </c>
      <c r="L54" s="20" t="n">
        <v>1.824086</v>
      </c>
      <c r="M54" s="20" t="n">
        <v>1.831124</v>
      </c>
      <c r="N54" s="20" t="n">
        <v>1.767276</v>
      </c>
      <c r="O54" s="20" t="n">
        <v>1.784694</v>
      </c>
      <c r="P54" s="20" t="n">
        <v>1.792094</v>
      </c>
      <c r="Q54" s="20" t="n">
        <v>1.789854</v>
      </c>
      <c r="R54" s="20" t="n">
        <v>1.765718</v>
      </c>
      <c r="S54" s="20" t="n">
        <v>1.760278</v>
      </c>
      <c r="T54" s="23">
        <f>IFERROR(AVERAGE(D54:S54),"")</f>
        <v/>
      </c>
    </row>
    <row r="55">
      <c r="A55" s="22" t="n">
        <v>43773</v>
      </c>
      <c r="B55" s="22" t="n">
        <v>43777</v>
      </c>
      <c r="C55">
        <f>TEXT(A55,"yyyy-mm")</f>
        <v/>
      </c>
      <c r="D55" s="20" t="n">
        <v>1.749092</v>
      </c>
      <c r="E55" s="20" t="n">
        <v>1.762884</v>
      </c>
      <c r="F55" s="20" t="n">
        <v>1.749092</v>
      </c>
      <c r="G55" s="20" t="n">
        <v>1.750674</v>
      </c>
      <c r="H55" s="20" t="n">
        <v>1.800856</v>
      </c>
      <c r="I55" s="20" t="n">
        <v>1.789316</v>
      </c>
      <c r="J55" s="20" t="n">
        <v>1.783294</v>
      </c>
      <c r="K55" s="20" t="n">
        <v>1.805352</v>
      </c>
      <c r="L55" s="20" t="n">
        <v>1.86631</v>
      </c>
      <c r="M55" s="20" t="n">
        <v>1.87335</v>
      </c>
      <c r="N55" s="20" t="n">
        <v>1.8095</v>
      </c>
      <c r="O55" s="20" t="n">
        <v>1.82692</v>
      </c>
      <c r="P55" s="20" t="n">
        <v>1.83432</v>
      </c>
      <c r="Q55" s="20" t="n">
        <v>1.83208</v>
      </c>
      <c r="R55" s="20" t="n">
        <v>1.80788</v>
      </c>
      <c r="S55" s="20" t="n">
        <v>1.802648</v>
      </c>
      <c r="T55" s="23">
        <f>IFERROR(AVERAGE(D55:S55),"")</f>
        <v/>
      </c>
    </row>
    <row r="56">
      <c r="A56" s="22" t="n">
        <v>43780</v>
      </c>
      <c r="B56" s="22" t="n">
        <v>43784</v>
      </c>
      <c r="C56">
        <f>TEXT(A56,"yyyy-mm")</f>
        <v/>
      </c>
      <c r="D56" s="20" t="n">
        <v>1.781404</v>
      </c>
      <c r="E56" s="20" t="n">
        <v>1.795294</v>
      </c>
      <c r="F56" s="20" t="n">
        <v>1.781404</v>
      </c>
      <c r="G56" s="20" t="n">
        <v>1.783188</v>
      </c>
      <c r="H56" s="20" t="n">
        <v>1.835686</v>
      </c>
      <c r="I56" s="20" t="n">
        <v>1.8239</v>
      </c>
      <c r="J56" s="20" t="n">
        <v>1.818476</v>
      </c>
      <c r="K56" s="20" t="n">
        <v>1.837664</v>
      </c>
      <c r="L56" s="20" t="n">
        <v>1.901146</v>
      </c>
      <c r="M56" s="20" t="n">
        <v>1.908178</v>
      </c>
      <c r="N56" s="20" t="n">
        <v>1.844336</v>
      </c>
      <c r="O56" s="20" t="n">
        <v>1.861748</v>
      </c>
      <c r="P56" s="20" t="n">
        <v>1.869148</v>
      </c>
      <c r="Q56" s="20" t="n">
        <v>1.866908</v>
      </c>
      <c r="R56" s="20" t="n">
        <v>1.84247</v>
      </c>
      <c r="S56" s="20" t="n">
        <v>1.837828</v>
      </c>
      <c r="T56" s="23">
        <f>IFERROR(AVERAGE(D56:S56),"")</f>
        <v/>
      </c>
    </row>
    <row r="57">
      <c r="A57" s="22" t="n">
        <v>43787</v>
      </c>
      <c r="B57" s="22" t="n">
        <v>43791</v>
      </c>
      <c r="C57">
        <f>TEXT(A57,"yyyy-mm")</f>
        <v/>
      </c>
      <c r="D57" s="20" t="n">
        <v>1.81702</v>
      </c>
      <c r="E57" s="20" t="n">
        <v>1.830916</v>
      </c>
      <c r="F57" s="20" t="n">
        <v>1.81702</v>
      </c>
      <c r="G57" s="20" t="n">
        <v>1.818812</v>
      </c>
      <c r="H57" s="20" t="n">
        <v>1.870416</v>
      </c>
      <c r="I57" s="20" t="n">
        <v>1.858592</v>
      </c>
      <c r="J57" s="20" t="n">
        <v>1.853248</v>
      </c>
      <c r="K57" s="20" t="n">
        <v>1.87328</v>
      </c>
      <c r="L57" s="20" t="n">
        <v>1.935876</v>
      </c>
      <c r="M57" s="20" t="n">
        <v>1.94291</v>
      </c>
      <c r="N57" s="20" t="n">
        <v>1.879064</v>
      </c>
      <c r="O57" s="20" t="n">
        <v>1.896478</v>
      </c>
      <c r="P57" s="20" t="n">
        <v>1.903878</v>
      </c>
      <c r="Q57" s="20" t="n">
        <v>1.901638</v>
      </c>
      <c r="R57" s="20" t="n">
        <v>1.877158</v>
      </c>
      <c r="S57" s="20" t="n">
        <v>1.872598</v>
      </c>
      <c r="T57" s="23">
        <f>IFERROR(AVERAGE(D57:S57),"")</f>
        <v/>
      </c>
    </row>
    <row r="58">
      <c r="A58" s="22" t="n">
        <v>43794</v>
      </c>
      <c r="B58" s="22" t="n">
        <v>43798</v>
      </c>
      <c r="C58">
        <f>TEXT(A58,"yyyy-mm")</f>
        <v/>
      </c>
      <c r="D58" s="20" t="n">
        <v>1.887197</v>
      </c>
      <c r="E58" s="20" t="n">
        <v>1.901083</v>
      </c>
      <c r="F58" s="20" t="n">
        <v>1.887197</v>
      </c>
      <c r="G58" s="20" t="n">
        <v>1.888973</v>
      </c>
      <c r="H58" s="20" t="n">
        <v>1.939277</v>
      </c>
      <c r="I58" s="20" t="n">
        <v>1.927437</v>
      </c>
      <c r="J58" s="20" t="n">
        <v>1.922117</v>
      </c>
      <c r="K58" s="20" t="n">
        <v>1.943457</v>
      </c>
      <c r="L58" s="20" t="n">
        <v>2.004737</v>
      </c>
      <c r="M58" s="20" t="n">
        <v>2.011773</v>
      </c>
      <c r="N58" s="20" t="n">
        <v>1.947927</v>
      </c>
      <c r="O58" s="20" t="n">
        <v>1.96534</v>
      </c>
      <c r="P58" s="20" t="n">
        <v>1.97274</v>
      </c>
      <c r="Q58" s="20" t="n">
        <v>1.9705</v>
      </c>
      <c r="R58" s="20" t="n">
        <v>1.946003</v>
      </c>
      <c r="S58" s="20" t="n">
        <v>1.941467</v>
      </c>
      <c r="T58" s="23">
        <f>IFERROR(AVERAGE(D58:S58),"")</f>
        <v/>
      </c>
    </row>
    <row r="59">
      <c r="A59" s="22" t="n">
        <v>43801</v>
      </c>
      <c r="B59" s="22" t="n">
        <v>43805</v>
      </c>
      <c r="C59">
        <f>TEXT(A59,"yyyy-mm")</f>
        <v/>
      </c>
      <c r="D59" s="20" t="n">
        <v>1.787856</v>
      </c>
      <c r="E59" s="20" t="n">
        <v>1.801736</v>
      </c>
      <c r="F59" s="20" t="n">
        <v>1.787856</v>
      </c>
      <c r="G59" s="20" t="n">
        <v>1.789618</v>
      </c>
      <c r="H59" s="20" t="n">
        <v>1.841122</v>
      </c>
      <c r="I59" s="20" t="n">
        <v>1.829348</v>
      </c>
      <c r="J59" s="20" t="n">
        <v>1.823888</v>
      </c>
      <c r="K59" s="20" t="n">
        <v>1.844122</v>
      </c>
      <c r="L59" s="20" t="n">
        <v>1.90658</v>
      </c>
      <c r="M59" s="20" t="n">
        <v>1.913616</v>
      </c>
      <c r="N59" s="20" t="n">
        <v>1.84977</v>
      </c>
      <c r="O59" s="20" t="n">
        <v>1.867184</v>
      </c>
      <c r="P59" s="20" t="n">
        <v>1.874584</v>
      </c>
      <c r="Q59" s="20" t="n">
        <v>1.872344</v>
      </c>
      <c r="R59" s="20" t="n">
        <v>1.847916</v>
      </c>
      <c r="S59" s="20" t="n">
        <v>1.843238</v>
      </c>
      <c r="T59" s="23">
        <f>IFERROR(AVERAGE(D59:S59),"")</f>
        <v/>
      </c>
    </row>
    <row r="60">
      <c r="A60" s="22" t="n">
        <v>43808</v>
      </c>
      <c r="B60" s="22" t="n">
        <v>43812</v>
      </c>
      <c r="C60">
        <f>TEXT(A60,"yyyy-mm")</f>
        <v/>
      </c>
      <c r="D60" s="20" t="n">
        <v>1.811928</v>
      </c>
      <c r="E60" s="20" t="n">
        <v>1.825838</v>
      </c>
      <c r="F60" s="20" t="n">
        <v>1.811928</v>
      </c>
      <c r="G60" s="20" t="n">
        <v>1.813748</v>
      </c>
      <c r="H60" s="20" t="n">
        <v>1.867812</v>
      </c>
      <c r="I60" s="20" t="n">
        <v>1.85601</v>
      </c>
      <c r="J60" s="20" t="n">
        <v>1.850642</v>
      </c>
      <c r="K60" s="20" t="n">
        <v>1.868188</v>
      </c>
      <c r="L60" s="20" t="n">
        <v>1.933268</v>
      </c>
      <c r="M60" s="20" t="n">
        <v>1.940302</v>
      </c>
      <c r="N60" s="20" t="n">
        <v>1.876456</v>
      </c>
      <c r="O60" s="20" t="n">
        <v>1.893872</v>
      </c>
      <c r="P60" s="20" t="n">
        <v>1.901272</v>
      </c>
      <c r="Q60" s="20" t="n">
        <v>1.899032</v>
      </c>
      <c r="R60" s="20" t="n">
        <v>1.874578</v>
      </c>
      <c r="S60" s="20" t="n">
        <v>1.869994</v>
      </c>
      <c r="T60" s="23">
        <f>IFERROR(AVERAGE(D60:S60),"")</f>
        <v/>
      </c>
    </row>
    <row r="61">
      <c r="A61" s="22" t="n">
        <v>43815</v>
      </c>
      <c r="B61" s="22" t="n">
        <v>43819</v>
      </c>
      <c r="C61">
        <f>TEXT(A61,"yyyy-mm")</f>
        <v/>
      </c>
      <c r="D61" s="20" t="n">
        <v>1.833946</v>
      </c>
      <c r="E61" s="20" t="n">
        <v>1.847874</v>
      </c>
      <c r="F61" s="20" t="n">
        <v>1.833946</v>
      </c>
      <c r="G61" s="20" t="n">
        <v>1.835804</v>
      </c>
      <c r="H61" s="20" t="n">
        <v>1.88933</v>
      </c>
      <c r="I61" s="20" t="n">
        <v>1.877454</v>
      </c>
      <c r="J61" s="20" t="n">
        <v>1.872252</v>
      </c>
      <c r="K61" s="20" t="n">
        <v>1.890206</v>
      </c>
      <c r="L61" s="20" t="n">
        <v>1.954784</v>
      </c>
      <c r="M61" s="20" t="n">
        <v>1.96182</v>
      </c>
      <c r="N61" s="20" t="n">
        <v>1.897972</v>
      </c>
      <c r="O61" s="20" t="n">
        <v>1.91539</v>
      </c>
      <c r="P61" s="20" t="n">
        <v>1.92279</v>
      </c>
      <c r="Q61" s="20" t="n">
        <v>1.92055</v>
      </c>
      <c r="R61" s="20" t="n">
        <v>1.89602</v>
      </c>
      <c r="S61" s="20" t="n">
        <v>1.891602</v>
      </c>
      <c r="T61" s="23">
        <f>IFERROR(AVERAGE(D61:S61),"")</f>
        <v/>
      </c>
    </row>
    <row r="62">
      <c r="A62" s="22" t="n">
        <v>43822</v>
      </c>
      <c r="B62" s="22" t="n">
        <v>43826</v>
      </c>
      <c r="C62">
        <f>TEXT(A62,"yyyy-mm")</f>
        <v/>
      </c>
      <c r="D62" s="20" t="n">
        <v>1.872648</v>
      </c>
      <c r="E62" s="20" t="n">
        <v>1.886605</v>
      </c>
      <c r="F62" s="20" t="n">
        <v>1.872648</v>
      </c>
      <c r="G62" s="20" t="n">
        <v>1.874568</v>
      </c>
      <c r="H62" s="20" t="n">
        <v>1.927973</v>
      </c>
      <c r="I62" s="20" t="n">
        <v>1.916005</v>
      </c>
      <c r="J62" s="20" t="n">
        <v>1.911018</v>
      </c>
      <c r="K62" s="20" t="n">
        <v>1.928908</v>
      </c>
      <c r="L62" s="20" t="n">
        <v>1.993433</v>
      </c>
      <c r="M62" s="20" t="n">
        <v>2.000465</v>
      </c>
      <c r="N62" s="20" t="n">
        <v>1.936623</v>
      </c>
      <c r="O62" s="20" t="n">
        <v>1.954033</v>
      </c>
      <c r="P62" s="20" t="n">
        <v>1.961433</v>
      </c>
      <c r="Q62" s="20" t="n">
        <v>1.959193</v>
      </c>
      <c r="R62" s="20" t="n">
        <v>1.93457</v>
      </c>
      <c r="S62" s="20" t="n">
        <v>1.93037</v>
      </c>
      <c r="T62" s="23">
        <f>IFERROR(AVERAGE(D62:S62),"")</f>
        <v/>
      </c>
    </row>
    <row r="63">
      <c r="A63" s="22" t="n">
        <v>43829</v>
      </c>
      <c r="B63" s="22" t="n">
        <v>43833</v>
      </c>
      <c r="C63">
        <f>TEXT(A63,"yyyy-mm")</f>
        <v/>
      </c>
      <c r="D63" s="20" t="n">
        <v>1.837683</v>
      </c>
      <c r="E63" s="20" t="n">
        <v>1.851668</v>
      </c>
      <c r="F63" s="20" t="n">
        <v>1.837683</v>
      </c>
      <c r="G63" s="20" t="n">
        <v>1.839658</v>
      </c>
      <c r="H63" s="20" t="n">
        <v>1.89408</v>
      </c>
      <c r="I63" s="20" t="n">
        <v>1.881873</v>
      </c>
      <c r="J63" s="20" t="n">
        <v>1.87761</v>
      </c>
      <c r="K63" s="20" t="n">
        <v>1.893943</v>
      </c>
      <c r="L63" s="20" t="n">
        <v>1.959535</v>
      </c>
      <c r="M63" s="20" t="n">
        <v>1.966573</v>
      </c>
      <c r="N63" s="20" t="n">
        <v>1.902725</v>
      </c>
      <c r="O63" s="20" t="n">
        <v>1.920143</v>
      </c>
      <c r="P63" s="20" t="n">
        <v>1.927543</v>
      </c>
      <c r="Q63" s="20" t="n">
        <v>1.925303</v>
      </c>
      <c r="R63" s="20" t="n">
        <v>1.90044</v>
      </c>
      <c r="S63" s="20" t="n">
        <v>1.89696</v>
      </c>
      <c r="T63" s="23">
        <f>IFERROR(AVERAGE(D63:S63),"")</f>
        <v/>
      </c>
    </row>
    <row r="64">
      <c r="A64" s="22" t="n">
        <v>43836</v>
      </c>
      <c r="B64" s="22" t="n">
        <v>43840</v>
      </c>
      <c r="C64">
        <f>TEXT(A64,"yyyy-mm")</f>
        <v/>
      </c>
      <c r="D64" s="20" t="n">
        <v>1.799836</v>
      </c>
      <c r="E64" s="20" t="n">
        <v>1.813916</v>
      </c>
      <c r="F64" s="20" t="n">
        <v>1.799836</v>
      </c>
      <c r="G64" s="20" t="n">
        <v>1.802</v>
      </c>
      <c r="H64" s="20" t="n">
        <v>1.860792</v>
      </c>
      <c r="I64" s="20" t="n">
        <v>1.848204</v>
      </c>
      <c r="J64" s="20" t="n">
        <v>1.845072</v>
      </c>
      <c r="K64" s="20" t="n">
        <v>1.856098</v>
      </c>
      <c r="L64" s="20" t="n">
        <v>1.926248</v>
      </c>
      <c r="M64" s="20" t="n">
        <v>1.933284</v>
      </c>
      <c r="N64" s="20" t="n">
        <v>1.869438</v>
      </c>
      <c r="O64" s="20" t="n">
        <v>1.886854</v>
      </c>
      <c r="P64" s="20" t="n">
        <v>1.894254</v>
      </c>
      <c r="Q64" s="20" t="n">
        <v>1.892014</v>
      </c>
      <c r="R64" s="20" t="n">
        <v>1.866768</v>
      </c>
      <c r="S64" s="20" t="n">
        <v>1.864422</v>
      </c>
      <c r="T64" s="23">
        <f>IFERROR(AVERAGE(D64:S64),"")</f>
        <v/>
      </c>
    </row>
    <row r="65">
      <c r="A65" s="22" t="n">
        <v>43843</v>
      </c>
      <c r="B65" s="22" t="n">
        <v>43847</v>
      </c>
      <c r="C65">
        <f>TEXT(A65,"yyyy-mm")</f>
        <v/>
      </c>
      <c r="D65" s="20" t="n">
        <v>1.785022</v>
      </c>
      <c r="E65" s="20" t="n">
        <v>1.799218</v>
      </c>
      <c r="F65" s="20" t="n">
        <v>1.785022</v>
      </c>
      <c r="G65" s="20" t="n">
        <v>1.787414</v>
      </c>
      <c r="H65" s="20" t="n">
        <v>1.854378</v>
      </c>
      <c r="I65" s="20" t="n">
        <v>1.841592</v>
      </c>
      <c r="J65" s="20" t="n">
        <v>1.83911</v>
      </c>
      <c r="K65" s="20" t="n">
        <v>1.841284</v>
      </c>
      <c r="L65" s="20" t="n">
        <v>1.919836</v>
      </c>
      <c r="M65" s="20" t="n">
        <v>1.926872</v>
      </c>
      <c r="N65" s="20" t="n">
        <v>1.863026</v>
      </c>
      <c r="O65" s="20" t="n">
        <v>1.880442</v>
      </c>
      <c r="P65" s="20" t="n">
        <v>1.88784</v>
      </c>
      <c r="Q65" s="20" t="n">
        <v>1.8856</v>
      </c>
      <c r="R65" s="20" t="n">
        <v>1.860162</v>
      </c>
      <c r="S65" s="20" t="n">
        <v>1.85846</v>
      </c>
      <c r="T65" s="23">
        <f>IFERROR(AVERAGE(D65:S65),"")</f>
        <v/>
      </c>
    </row>
    <row r="66">
      <c r="A66" s="22" t="n">
        <v>43850</v>
      </c>
      <c r="B66" s="22" t="n">
        <v>43854</v>
      </c>
      <c r="C66">
        <f>TEXT(A66,"yyyy-mm")</f>
        <v/>
      </c>
      <c r="D66" s="20" t="n">
        <v>1.751238</v>
      </c>
      <c r="E66" s="20" t="n">
        <v>1.76551</v>
      </c>
      <c r="F66" s="20" t="n">
        <v>1.751238</v>
      </c>
      <c r="G66" s="20" t="n">
        <v>1.753788</v>
      </c>
      <c r="H66" s="20" t="n">
        <v>1.822388</v>
      </c>
      <c r="I66" s="20" t="n">
        <v>1.809395</v>
      </c>
      <c r="J66" s="20" t="n">
        <v>1.80743</v>
      </c>
      <c r="K66" s="20" t="n">
        <v>1.807498</v>
      </c>
      <c r="L66" s="20" t="n">
        <v>1.887848</v>
      </c>
      <c r="M66" s="20" t="n">
        <v>1.894885</v>
      </c>
      <c r="N66" s="20" t="n">
        <v>1.831038</v>
      </c>
      <c r="O66" s="20" t="n">
        <v>1.848455</v>
      </c>
      <c r="P66" s="20" t="n">
        <v>1.855855</v>
      </c>
      <c r="Q66" s="20" t="n">
        <v>1.853615</v>
      </c>
      <c r="R66" s="20" t="n">
        <v>1.827963</v>
      </c>
      <c r="S66" s="20" t="n">
        <v>1.82678</v>
      </c>
      <c r="T66" s="23">
        <f>IFERROR(AVERAGE(D66:S66),"")</f>
        <v/>
      </c>
    </row>
    <row r="67">
      <c r="A67" s="22" t="n">
        <v>43857</v>
      </c>
      <c r="B67" s="22" t="n">
        <v>43861</v>
      </c>
      <c r="C67">
        <f>TEXT(A67,"yyyy-mm")</f>
        <v/>
      </c>
      <c r="D67" s="20" t="n">
        <v>1.662984</v>
      </c>
      <c r="E67" s="20" t="n">
        <v>1.677112</v>
      </c>
      <c r="F67" s="20" t="n">
        <v>1.662984</v>
      </c>
      <c r="G67" s="20" t="n">
        <v>1.66524</v>
      </c>
      <c r="H67" s="20" t="n">
        <v>1.729618</v>
      </c>
      <c r="I67" s="20" t="n">
        <v>1.716992</v>
      </c>
      <c r="J67" s="20" t="n">
        <v>1.71408</v>
      </c>
      <c r="K67" s="20" t="n">
        <v>1.719246</v>
      </c>
      <c r="L67" s="20" t="n">
        <v>1.795076</v>
      </c>
      <c r="M67" s="20" t="n">
        <v>1.802112</v>
      </c>
      <c r="N67" s="20" t="n">
        <v>1.738266</v>
      </c>
      <c r="O67" s="20" t="n">
        <v>1.755682</v>
      </c>
      <c r="P67" s="20" t="n">
        <v>1.76308</v>
      </c>
      <c r="Q67" s="20" t="n">
        <v>1.76084</v>
      </c>
      <c r="R67" s="20" t="n">
        <v>1.73556</v>
      </c>
      <c r="S67" s="20" t="n">
        <v>1.733432</v>
      </c>
      <c r="T67" s="23">
        <f>IFERROR(AVERAGE(D67:S67),"")</f>
        <v/>
      </c>
    </row>
    <row r="68">
      <c r="A68" s="22" t="n">
        <v>43864</v>
      </c>
      <c r="B68" s="22" t="n">
        <v>43868</v>
      </c>
      <c r="C68">
        <f>TEXT(A68,"yyyy-mm")</f>
        <v/>
      </c>
      <c r="D68" s="20" t="n">
        <v>1.634184</v>
      </c>
      <c r="E68" s="20" t="n">
        <v>1.648024</v>
      </c>
      <c r="F68" s="20" t="n">
        <v>1.634184</v>
      </c>
      <c r="G68" s="20" t="n">
        <v>1.63586</v>
      </c>
      <c r="H68" s="20" t="n">
        <v>1.688416</v>
      </c>
      <c r="I68" s="20" t="n">
        <v>1.67646</v>
      </c>
      <c r="J68" s="20" t="n">
        <v>1.671726</v>
      </c>
      <c r="K68" s="20" t="n">
        <v>1.690448</v>
      </c>
      <c r="L68" s="20" t="n">
        <v>1.753876</v>
      </c>
      <c r="M68" s="20" t="n">
        <v>1.760908</v>
      </c>
      <c r="N68" s="20" t="n">
        <v>1.697066</v>
      </c>
      <c r="O68" s="20" t="n">
        <v>1.714478</v>
      </c>
      <c r="P68" s="20" t="n">
        <v>1.721878</v>
      </c>
      <c r="Q68" s="20" t="n">
        <v>1.719638</v>
      </c>
      <c r="R68" s="20" t="n">
        <v>1.695028</v>
      </c>
      <c r="S68" s="20" t="n">
        <v>1.691078</v>
      </c>
      <c r="T68" s="23">
        <f>IFERROR(AVERAGE(D68:S68),"")</f>
        <v/>
      </c>
    </row>
    <row r="69">
      <c r="A69" s="22" t="n">
        <v>43871</v>
      </c>
      <c r="B69" s="22" t="n">
        <v>43875</v>
      </c>
      <c r="C69">
        <f>TEXT(A69,"yyyy-mm")</f>
        <v/>
      </c>
      <c r="D69" s="20" t="n">
        <v>1.724834</v>
      </c>
      <c r="E69" s="20" t="n">
        <v>1.738616</v>
      </c>
      <c r="F69" s="20" t="n">
        <v>1.724834</v>
      </c>
      <c r="G69" s="20" t="n">
        <v>1.7264</v>
      </c>
      <c r="H69" s="20" t="n">
        <v>1.774162</v>
      </c>
      <c r="I69" s="20" t="n">
        <v>1.762282</v>
      </c>
      <c r="J69" s="20" t="n">
        <v>1.757262</v>
      </c>
      <c r="K69" s="20" t="n">
        <v>1.781094</v>
      </c>
      <c r="L69" s="20" t="n">
        <v>1.83962</v>
      </c>
      <c r="M69" s="20" t="n">
        <v>1.846656</v>
      </c>
      <c r="N69" s="20" t="n">
        <v>1.78281</v>
      </c>
      <c r="O69" s="20" t="n">
        <v>1.800226</v>
      </c>
      <c r="P69" s="20" t="n">
        <v>1.807626</v>
      </c>
      <c r="Q69" s="20" t="n">
        <v>1.805386</v>
      </c>
      <c r="R69" s="20" t="n">
        <v>1.78085</v>
      </c>
      <c r="S69" s="20" t="n">
        <v>1.776614</v>
      </c>
      <c r="T69" s="23">
        <f>IFERROR(AVERAGE(D69:S69),"")</f>
        <v/>
      </c>
    </row>
    <row r="70">
      <c r="A70" s="22" t="n">
        <v>43878</v>
      </c>
      <c r="B70" s="22" t="n">
        <v>43882</v>
      </c>
      <c r="C70">
        <f>TEXT(A70,"yyyy-mm")</f>
        <v/>
      </c>
      <c r="D70" s="20" t="n">
        <v>1.839078</v>
      </c>
      <c r="E70" s="20" t="n">
        <v>1.852888</v>
      </c>
      <c r="F70" s="20" t="n">
        <v>1.839078</v>
      </c>
      <c r="G70" s="20" t="n">
        <v>1.840703</v>
      </c>
      <c r="H70" s="20" t="n">
        <v>1.88838</v>
      </c>
      <c r="I70" s="20" t="n">
        <v>1.87641</v>
      </c>
      <c r="J70" s="20" t="n">
        <v>1.871598</v>
      </c>
      <c r="K70" s="20" t="n">
        <v>1.89534</v>
      </c>
      <c r="L70" s="20" t="n">
        <v>1.95384</v>
      </c>
      <c r="M70" s="20" t="n">
        <v>1.960878</v>
      </c>
      <c r="N70" s="20" t="n">
        <v>1.897028</v>
      </c>
      <c r="O70" s="20" t="n">
        <v>1.914448</v>
      </c>
      <c r="P70" s="20" t="n">
        <v>1.921848</v>
      </c>
      <c r="Q70" s="20" t="n">
        <v>1.919608</v>
      </c>
      <c r="R70" s="20" t="n">
        <v>1.894978</v>
      </c>
      <c r="S70" s="20" t="n">
        <v>1.890953</v>
      </c>
      <c r="T70" s="23">
        <f>IFERROR(AVERAGE(D70:S70),"")</f>
        <v/>
      </c>
    </row>
    <row r="71">
      <c r="A71" s="22" t="n">
        <v>43885</v>
      </c>
      <c r="B71" s="22" t="n">
        <v>43889</v>
      </c>
      <c r="C71">
        <f>TEXT(A71,"yyyy-mm")</f>
        <v/>
      </c>
      <c r="D71" s="20" t="n">
        <v>1.730464</v>
      </c>
      <c r="E71" s="20" t="n">
        <v>1.744346</v>
      </c>
      <c r="F71" s="20" t="n">
        <v>1.730464</v>
      </c>
      <c r="G71" s="20" t="n">
        <v>1.732228</v>
      </c>
      <c r="H71" s="20" t="n">
        <v>1.783374</v>
      </c>
      <c r="I71" s="20" t="n">
        <v>1.771264</v>
      </c>
      <c r="J71" s="20" t="n">
        <v>1.766854</v>
      </c>
      <c r="K71" s="20" t="n">
        <v>1.78673</v>
      </c>
      <c r="L71" s="20" t="n">
        <v>1.848834</v>
      </c>
      <c r="M71" s="20" t="n">
        <v>1.855866</v>
      </c>
      <c r="N71" s="20" t="n">
        <v>1.792024</v>
      </c>
      <c r="O71" s="20" t="n">
        <v>1.809436</v>
      </c>
      <c r="P71" s="20" t="n">
        <v>1.816836</v>
      </c>
      <c r="Q71" s="20" t="n">
        <v>1.814596</v>
      </c>
      <c r="R71" s="20" t="n">
        <v>1.789832</v>
      </c>
      <c r="S71" s="20" t="n">
        <v>1.786206</v>
      </c>
      <c r="T71" s="23">
        <f>IFERROR(AVERAGE(D71:S71),"")</f>
        <v/>
      </c>
    </row>
    <row r="72">
      <c r="A72" s="22" t="n">
        <v>43892</v>
      </c>
      <c r="B72" s="22" t="n">
        <v>43896</v>
      </c>
      <c r="C72">
        <f>TEXT(A72,"yyyy-mm")</f>
        <v/>
      </c>
      <c r="D72" s="20" t="n">
        <v>1.633466</v>
      </c>
      <c r="E72" s="20" t="n">
        <v>1.647502</v>
      </c>
      <c r="F72" s="20" t="n">
        <v>1.633466</v>
      </c>
      <c r="G72" s="20" t="n">
        <v>1.635538</v>
      </c>
      <c r="H72" s="20" t="n">
        <v>1.69399</v>
      </c>
      <c r="I72" s="20" t="n">
        <v>1.681534</v>
      </c>
      <c r="J72" s="20" t="n">
        <v>1.67809</v>
      </c>
      <c r="K72" s="20" t="n">
        <v>1.689728</v>
      </c>
      <c r="L72" s="20" t="n">
        <v>1.759448</v>
      </c>
      <c r="M72" s="20" t="n">
        <v>1.766484</v>
      </c>
      <c r="N72" s="20" t="n">
        <v>1.702638</v>
      </c>
      <c r="O72" s="20" t="n">
        <v>1.720052</v>
      </c>
      <c r="P72" s="20" t="n">
        <v>1.727452</v>
      </c>
      <c r="Q72" s="20" t="n">
        <v>1.725212</v>
      </c>
      <c r="R72" s="20" t="n">
        <v>1.700102</v>
      </c>
      <c r="S72" s="20" t="n">
        <v>1.69744</v>
      </c>
      <c r="T72" s="23">
        <f>IFERROR(AVERAGE(D72:S72),"")</f>
        <v/>
      </c>
    </row>
    <row r="73">
      <c r="A73" s="22" t="n">
        <v>43899</v>
      </c>
      <c r="B73" s="22" t="n">
        <v>43903</v>
      </c>
      <c r="C73">
        <f>TEXT(A73,"yyyy-mm")</f>
        <v/>
      </c>
      <c r="D73" s="20" t="n">
        <v>1.22094</v>
      </c>
      <c r="E73" s="20" t="n">
        <v>1.235144</v>
      </c>
      <c r="F73" s="20" t="n">
        <v>1.22094</v>
      </c>
      <c r="G73" s="20" t="n">
        <v>1.223348</v>
      </c>
      <c r="H73" s="20" t="n">
        <v>1.285318</v>
      </c>
      <c r="I73" s="20" t="n">
        <v>1.272422</v>
      </c>
      <c r="J73" s="20" t="n">
        <v>1.270078</v>
      </c>
      <c r="K73" s="20" t="n">
        <v>1.277202</v>
      </c>
      <c r="L73" s="20" t="n">
        <v>1.350776</v>
      </c>
      <c r="M73" s="20" t="n">
        <v>1.357812</v>
      </c>
      <c r="N73" s="20" t="n">
        <v>1.293966</v>
      </c>
      <c r="O73" s="20" t="n">
        <v>1.31138</v>
      </c>
      <c r="P73" s="20" t="n">
        <v>1.31878</v>
      </c>
      <c r="Q73" s="20" t="n">
        <v>1.31654</v>
      </c>
      <c r="R73" s="20" t="n">
        <v>1.290986</v>
      </c>
      <c r="S73" s="20" t="n">
        <v>1.28943</v>
      </c>
      <c r="T73" s="23">
        <f>IFERROR(AVERAGE(D73:S73),"")</f>
        <v/>
      </c>
    </row>
    <row r="74">
      <c r="A74" s="22" t="n">
        <v>43906</v>
      </c>
      <c r="B74" s="22" t="n">
        <v>43910</v>
      </c>
      <c r="C74">
        <f>TEXT(A74,"yyyy-mm")</f>
        <v/>
      </c>
      <c r="D74" s="20" t="n">
        <v>0.745932</v>
      </c>
      <c r="E74" s="20" t="n">
        <v>0.7600800000000001</v>
      </c>
      <c r="F74" s="20" t="n">
        <v>0.745932</v>
      </c>
      <c r="G74" s="20" t="n">
        <v>0.748228</v>
      </c>
      <c r="H74" s="20" t="n">
        <v>0.808354</v>
      </c>
      <c r="I74" s="20" t="n">
        <v>0.795588</v>
      </c>
      <c r="J74" s="20" t="n">
        <v>0.7928999999999999</v>
      </c>
      <c r="K74" s="20" t="n">
        <v>0.802194</v>
      </c>
      <c r="L74" s="20" t="n">
        <v>0.87381</v>
      </c>
      <c r="M74" s="20" t="n">
        <v>0.880846</v>
      </c>
      <c r="N74" s="20" t="n">
        <v>0.8169999999999999</v>
      </c>
      <c r="O74" s="20" t="n">
        <v>0.834416</v>
      </c>
      <c r="P74" s="20" t="n">
        <v>0.841816</v>
      </c>
      <c r="Q74" s="20" t="n">
        <v>0.839576</v>
      </c>
      <c r="R74" s="20" t="n">
        <v>0.814154</v>
      </c>
      <c r="S74" s="20" t="n">
        <v>0.81225</v>
      </c>
      <c r="T74" s="23">
        <f>IFERROR(AVERAGE(D74:S74),"")</f>
        <v/>
      </c>
    </row>
    <row r="75">
      <c r="A75" s="22" t="n">
        <v>43913</v>
      </c>
      <c r="B75" s="22" t="n">
        <v>43917</v>
      </c>
      <c r="C75">
        <f>TEXT(A75,"yyyy-mm")</f>
        <v/>
      </c>
      <c r="D75" s="20" t="n">
        <v>0.6190460000000001</v>
      </c>
      <c r="E75" s="20" t="n">
        <v>0.6330180000000001</v>
      </c>
      <c r="F75" s="20" t="n">
        <v>0.6190460000000001</v>
      </c>
      <c r="G75" s="20" t="n">
        <v>0.62099</v>
      </c>
      <c r="H75" s="20" t="n">
        <v>0.673764</v>
      </c>
      <c r="I75" s="20" t="n">
        <v>0.661394</v>
      </c>
      <c r="J75" s="20" t="n">
        <v>0.657614</v>
      </c>
      <c r="K75" s="20" t="n">
        <v>0.6753060000000001</v>
      </c>
      <c r="L75" s="20" t="n">
        <v>0.7392219999999999</v>
      </c>
      <c r="M75" s="20" t="n">
        <v>0.74626</v>
      </c>
      <c r="N75" s="20" t="n">
        <v>0.68241</v>
      </c>
      <c r="O75" s="20" t="n">
        <v>0.6998260000000001</v>
      </c>
      <c r="P75" s="20" t="n">
        <v>0.707226</v>
      </c>
      <c r="Q75" s="20" t="n">
        <v>0.704986</v>
      </c>
      <c r="R75" s="20" t="n">
        <v>0.679964</v>
      </c>
      <c r="S75" s="20" t="n">
        <v>0.676966</v>
      </c>
      <c r="T75" s="23">
        <f>IFERROR(AVERAGE(D75:S75),"")</f>
        <v/>
      </c>
    </row>
    <row r="76">
      <c r="A76" s="22" t="n">
        <v>43920</v>
      </c>
      <c r="B76" s="22" t="n">
        <v>43924</v>
      </c>
      <c r="C76">
        <f>TEXT(A76,"yyyy-mm")</f>
        <v/>
      </c>
      <c r="D76" s="20" t="n">
        <v>0.683016</v>
      </c>
      <c r="E76" s="20" t="n">
        <v>0.6969500000000001</v>
      </c>
      <c r="F76" s="20" t="n">
        <v>0.683016</v>
      </c>
      <c r="G76" s="20" t="n">
        <v>0.684884</v>
      </c>
      <c r="H76" s="20" t="n">
        <v>0.73656</v>
      </c>
      <c r="I76" s="20" t="n">
        <v>0.724292</v>
      </c>
      <c r="J76" s="20" t="n">
        <v>0.72026</v>
      </c>
      <c r="K76" s="20" t="n">
        <v>0.739278</v>
      </c>
      <c r="L76" s="20" t="n">
        <v>0.802018</v>
      </c>
      <c r="M76" s="20" t="n">
        <v>0.809052</v>
      </c>
      <c r="N76" s="20" t="n">
        <v>0.745206</v>
      </c>
      <c r="O76" s="20" t="n">
        <v>0.7626219999999999</v>
      </c>
      <c r="P76" s="20" t="n">
        <v>0.7700220000000001</v>
      </c>
      <c r="Q76" s="20" t="n">
        <v>0.7677820000000001</v>
      </c>
      <c r="R76" s="20" t="n">
        <v>0.742852</v>
      </c>
      <c r="S76" s="20" t="n">
        <v>0.73961</v>
      </c>
      <c r="T76" s="23">
        <f>IFERROR(AVERAGE(D76:S76),"")</f>
        <v/>
      </c>
    </row>
    <row r="77">
      <c r="A77" s="22" t="n">
        <v>43927</v>
      </c>
      <c r="B77" s="22" t="n">
        <v>43930</v>
      </c>
      <c r="C77">
        <f>TEXT(A77,"yyyy-mm")</f>
        <v/>
      </c>
      <c r="D77" s="20" t="n">
        <v>0.767568</v>
      </c>
      <c r="E77" s="20" t="n">
        <v>0.7815080000000001</v>
      </c>
      <c r="F77" s="20" t="n">
        <v>0.767568</v>
      </c>
      <c r="G77" s="20" t="n">
        <v>0.769443</v>
      </c>
      <c r="H77" s="20" t="n">
        <v>0.820668</v>
      </c>
      <c r="I77" s="20" t="n">
        <v>0.808378</v>
      </c>
      <c r="J77" s="20" t="n">
        <v>0.804378</v>
      </c>
      <c r="K77" s="20" t="n">
        <v>0.823835</v>
      </c>
      <c r="L77" s="20" t="n">
        <v>0.886123</v>
      </c>
      <c r="M77" s="20" t="n">
        <v>0.893158</v>
      </c>
      <c r="N77" s="20" t="n">
        <v>0.829313</v>
      </c>
      <c r="O77" s="20" t="n">
        <v>0.8467279999999999</v>
      </c>
      <c r="P77" s="20" t="n">
        <v>0.854128</v>
      </c>
      <c r="Q77" s="20" t="n">
        <v>0.851888</v>
      </c>
      <c r="R77" s="20" t="n">
        <v>0.826945</v>
      </c>
      <c r="S77" s="20" t="n">
        <v>0.8237279999999999</v>
      </c>
      <c r="T77" s="23">
        <f>IFERROR(AVERAGE(D77:S77),"")</f>
        <v/>
      </c>
    </row>
    <row r="78">
      <c r="A78" s="22" t="n">
        <v>43934</v>
      </c>
      <c r="B78" s="22" t="n">
        <v>43938</v>
      </c>
      <c r="C78">
        <f>TEXT(A78,"yyyy-mm")</f>
        <v/>
      </c>
      <c r="D78" s="20" t="n">
        <v>0.809246</v>
      </c>
      <c r="E78" s="20" t="n">
        <v>0.8233400000000001</v>
      </c>
      <c r="F78" s="20" t="n">
        <v>0.809246</v>
      </c>
      <c r="G78" s="20" t="n">
        <v>0.811438</v>
      </c>
      <c r="H78" s="20" t="n">
        <v>0.867388</v>
      </c>
      <c r="I78" s="20" t="n">
        <v>0.8547039999999999</v>
      </c>
      <c r="J78" s="20" t="n">
        <v>0.85173</v>
      </c>
      <c r="K78" s="20" t="n">
        <v>0.865506</v>
      </c>
      <c r="L78" s="20" t="n">
        <v>0.932848</v>
      </c>
      <c r="M78" s="20" t="n">
        <v>0.93988</v>
      </c>
      <c r="N78" s="20" t="n">
        <v>0.876038</v>
      </c>
      <c r="O78" s="20" t="n">
        <v>0.8934500000000001</v>
      </c>
      <c r="P78" s="20" t="n">
        <v>0.90085</v>
      </c>
      <c r="Q78" s="20" t="n">
        <v>0.89861</v>
      </c>
      <c r="R78" s="20" t="n">
        <v>0.873272</v>
      </c>
      <c r="S78" s="20" t="n">
        <v>0.8710800000000001</v>
      </c>
      <c r="T78" s="23">
        <f>IFERROR(AVERAGE(D78:S78),"")</f>
        <v/>
      </c>
    </row>
    <row r="79">
      <c r="A79" s="22" t="n">
        <v>43941</v>
      </c>
      <c r="B79" s="22" t="n">
        <v>43945</v>
      </c>
      <c r="C79">
        <f>TEXT(A79,"yyyy-mm")</f>
        <v/>
      </c>
      <c r="D79" s="20" t="n">
        <v>0.792114</v>
      </c>
      <c r="E79" s="20" t="n">
        <v>0.806978</v>
      </c>
      <c r="F79" s="20" t="n">
        <v>0.792114</v>
      </c>
      <c r="G79" s="20" t="n">
        <v>0.795848</v>
      </c>
      <c r="H79" s="20" t="n">
        <v>0.8862899999999999</v>
      </c>
      <c r="I79" s="20" t="n">
        <v>0.871892</v>
      </c>
      <c r="J79" s="20" t="n">
        <v>0.873674</v>
      </c>
      <c r="K79" s="20" t="n">
        <v>0.8483740000000001</v>
      </c>
      <c r="L79" s="20" t="n">
        <v>0.951748</v>
      </c>
      <c r="M79" s="20" t="n">
        <v>0.958784</v>
      </c>
      <c r="N79" s="20" t="n">
        <v>0.894938</v>
      </c>
      <c r="O79" s="20" t="n">
        <v>0.912354</v>
      </c>
      <c r="P79" s="20" t="n">
        <v>0.9197540000000001</v>
      </c>
      <c r="Q79" s="20" t="n">
        <v>0.9175140000000001</v>
      </c>
      <c r="R79" s="20" t="n">
        <v>0.890456</v>
      </c>
      <c r="S79" s="20" t="n">
        <v>0.893028</v>
      </c>
      <c r="T79" s="23">
        <f>IFERROR(AVERAGE(D79:S79),"")</f>
        <v/>
      </c>
    </row>
    <row r="80">
      <c r="A80" s="22" t="n">
        <v>43948</v>
      </c>
      <c r="B80" s="22" t="n">
        <v>43952</v>
      </c>
      <c r="C80">
        <f>TEXT(A80,"yyyy-mm")</f>
        <v/>
      </c>
      <c r="D80" s="20" t="n">
        <v>0.9115259999999999</v>
      </c>
      <c r="E80" s="20" t="n">
        <v>0.926802</v>
      </c>
      <c r="F80" s="20" t="n">
        <v>0.9115259999999999</v>
      </c>
      <c r="G80" s="20" t="n">
        <v>0.916076</v>
      </c>
      <c r="H80" s="20" t="n">
        <v>1.016818</v>
      </c>
      <c r="I80" s="20" t="n">
        <v>1.001358</v>
      </c>
      <c r="J80" s="20" t="n">
        <v>1.005822</v>
      </c>
      <c r="K80" s="20" t="n">
        <v>0.9893419999999999</v>
      </c>
      <c r="L80" s="20" t="n">
        <v>1.107488</v>
      </c>
      <c r="M80" s="20" t="n">
        <v>1.117528</v>
      </c>
      <c r="N80" s="20" t="n">
        <v>1.03105</v>
      </c>
      <c r="O80" s="20" t="n">
        <v>1.04867</v>
      </c>
      <c r="P80" s="20" t="n">
        <v>1.06361</v>
      </c>
      <c r="Q80" s="20" t="n">
        <v>1.058932</v>
      </c>
      <c r="R80" s="20" t="n">
        <v>1.028852</v>
      </c>
      <c r="S80" s="20" t="n">
        <v>1.033896</v>
      </c>
      <c r="T80" s="23">
        <f>IFERROR(AVERAGE(D80:S80),"")</f>
        <v/>
      </c>
    </row>
    <row r="81">
      <c r="A81" s="22" t="n">
        <v>43955</v>
      </c>
      <c r="B81" s="22" t="n">
        <v>43959</v>
      </c>
      <c r="C81">
        <f>TEXT(A81,"yyyy-mm")</f>
        <v/>
      </c>
      <c r="D81" s="20" t="n">
        <v>1.208048</v>
      </c>
      <c r="E81" s="20" t="n">
        <v>1.222506</v>
      </c>
      <c r="F81" s="20" t="n">
        <v>1.208048</v>
      </c>
      <c r="G81" s="20" t="n">
        <v>1.210966</v>
      </c>
      <c r="H81" s="20" t="n">
        <v>1.282336</v>
      </c>
      <c r="I81" s="20" t="n">
        <v>1.26883</v>
      </c>
      <c r="J81" s="20" t="n">
        <v>1.268112</v>
      </c>
      <c r="K81" s="20" t="n">
        <v>1.377802</v>
      </c>
      <c r="L81" s="20" t="n">
        <v>1.480546</v>
      </c>
      <c r="M81" s="20" t="n">
        <v>1.503364</v>
      </c>
      <c r="N81" s="20" t="n">
        <v>1.320186</v>
      </c>
      <c r="O81" s="20" t="n">
        <v>1.339266</v>
      </c>
      <c r="P81" s="20" t="n">
        <v>1.385936</v>
      </c>
      <c r="Q81" s="20" t="n">
        <v>1.371002</v>
      </c>
      <c r="R81" s="20" t="n">
        <v>1.334234</v>
      </c>
      <c r="S81" s="20" t="n">
        <v>1.333286</v>
      </c>
      <c r="T81" s="23">
        <f>IFERROR(AVERAGE(D81:S81),"")</f>
        <v/>
      </c>
    </row>
    <row r="82">
      <c r="A82" s="22" t="n">
        <v>43962</v>
      </c>
      <c r="B82" s="22" t="n">
        <v>43966</v>
      </c>
      <c r="C82">
        <f>TEXT(A82,"yyyy-mm")</f>
        <v/>
      </c>
      <c r="D82" s="20" t="n">
        <v>1.29711</v>
      </c>
      <c r="E82" s="20" t="n">
        <v>1.311192</v>
      </c>
      <c r="F82" s="20" t="n">
        <v>1.29711</v>
      </c>
      <c r="G82" s="20" t="n">
        <v>1.299278</v>
      </c>
      <c r="H82" s="20" t="n">
        <v>1.355918</v>
      </c>
      <c r="I82" s="20" t="n">
        <v>1.343282</v>
      </c>
      <c r="J82" s="20" t="n">
        <v>1.34021</v>
      </c>
      <c r="K82" s="20" t="n">
        <v>1.472416</v>
      </c>
      <c r="L82" s="20" t="n">
        <v>1.560606</v>
      </c>
      <c r="M82" s="20" t="n">
        <v>1.584174</v>
      </c>
      <c r="N82" s="20" t="n">
        <v>1.395002</v>
      </c>
      <c r="O82" s="20" t="n">
        <v>1.414706</v>
      </c>
      <c r="P82" s="20" t="n">
        <v>1.462904</v>
      </c>
      <c r="Q82" s="20" t="n">
        <v>1.44748</v>
      </c>
      <c r="R82" s="20" t="n">
        <v>1.410824</v>
      </c>
      <c r="S82" s="20" t="n">
        <v>1.407516</v>
      </c>
      <c r="T82" s="23">
        <f>IFERROR(AVERAGE(D82:S82),"")</f>
        <v/>
      </c>
    </row>
    <row r="83">
      <c r="A83" s="22" t="n">
        <v>43969</v>
      </c>
      <c r="B83" s="22" t="n">
        <v>43973</v>
      </c>
      <c r="C83">
        <f>TEXT(A83,"yyyy-mm")</f>
        <v/>
      </c>
      <c r="D83" s="20" t="n">
        <v>1.40987</v>
      </c>
      <c r="E83" s="20" t="n">
        <v>1.423874</v>
      </c>
      <c r="F83" s="20" t="n">
        <v>1.40987</v>
      </c>
      <c r="G83" s="20" t="n">
        <v>1.412878</v>
      </c>
      <c r="H83" s="20" t="n">
        <v>1.467726</v>
      </c>
      <c r="I83" s="20" t="n">
        <v>1.454266</v>
      </c>
      <c r="J83" s="20" t="n">
        <v>1.453702</v>
      </c>
      <c r="K83" s="20" t="n">
        <v>1.578872</v>
      </c>
      <c r="L83" s="20" t="n">
        <v>1.665058</v>
      </c>
      <c r="M83" s="20" t="n">
        <v>1.687774</v>
      </c>
      <c r="N83" s="20" t="n">
        <v>1.50541</v>
      </c>
      <c r="O83" s="20" t="n">
        <v>1.524402</v>
      </c>
      <c r="P83" s="20" t="n">
        <v>1.570866</v>
      </c>
      <c r="Q83" s="20" t="n">
        <v>1.556</v>
      </c>
      <c r="R83" s="20" t="n">
        <v>1.519384</v>
      </c>
      <c r="S83" s="20" t="n">
        <v>1.51859</v>
      </c>
      <c r="T83" s="23">
        <f>IFERROR(AVERAGE(D83:S83),"")</f>
        <v/>
      </c>
    </row>
    <row r="84">
      <c r="A84" s="22" t="n">
        <v>43976</v>
      </c>
      <c r="B84" s="22" t="n">
        <v>43980</v>
      </c>
      <c r="C84">
        <f>TEXT(A84,"yyyy-mm")</f>
        <v/>
      </c>
      <c r="D84" s="20" t="n">
        <v>1.34057</v>
      </c>
      <c r="E84" s="20" t="n">
        <v>1.35457</v>
      </c>
      <c r="F84" s="20" t="n">
        <v>1.34057</v>
      </c>
      <c r="G84" s="20" t="n">
        <v>1.343565</v>
      </c>
      <c r="H84" s="20" t="n">
        <v>1.398523</v>
      </c>
      <c r="I84" s="20" t="n">
        <v>1.385083</v>
      </c>
      <c r="J84" s="20" t="n">
        <v>1.384465</v>
      </c>
      <c r="K84" s="20" t="n">
        <v>1.50004</v>
      </c>
      <c r="L84" s="20" t="n">
        <v>1.584715</v>
      </c>
      <c r="M84" s="20" t="n">
        <v>1.606155</v>
      </c>
      <c r="N84" s="20" t="n">
        <v>1.434078</v>
      </c>
      <c r="O84" s="20" t="n">
        <v>1.451998</v>
      </c>
      <c r="P84" s="20" t="n">
        <v>1.495845</v>
      </c>
      <c r="Q84" s="20" t="n">
        <v>1.481813</v>
      </c>
      <c r="R84" s="20" t="n">
        <v>1.44653</v>
      </c>
      <c r="S84" s="20" t="n">
        <v>1.445693</v>
      </c>
      <c r="T84" s="23">
        <f>IFERROR(AVERAGE(D84:S84),"")</f>
        <v/>
      </c>
    </row>
    <row r="85">
      <c r="A85" s="22" t="n">
        <v>43983</v>
      </c>
      <c r="B85" s="22" t="n">
        <v>43987</v>
      </c>
      <c r="C85">
        <f>TEXT(A85,"yyyy-mm")</f>
        <v/>
      </c>
      <c r="D85" s="20" t="n">
        <v>1.391448</v>
      </c>
      <c r="E85" s="20" t="n">
        <v>1.40543</v>
      </c>
      <c r="F85" s="20" t="n">
        <v>1.391448</v>
      </c>
      <c r="G85" s="20" t="n">
        <v>1.394392</v>
      </c>
      <c r="H85" s="20" t="n">
        <v>1.448748</v>
      </c>
      <c r="I85" s="20" t="n">
        <v>1.435368</v>
      </c>
      <c r="J85" s="20" t="n">
        <v>1.4346</v>
      </c>
      <c r="K85" s="20" t="n">
        <v>1.545388</v>
      </c>
      <c r="L85" s="20" t="n">
        <v>1.628494</v>
      </c>
      <c r="M85" s="20" t="n">
        <v>1.649188</v>
      </c>
      <c r="N85" s="20" t="n">
        <v>1.483072</v>
      </c>
      <c r="O85" s="20" t="n">
        <v>1.500376</v>
      </c>
      <c r="P85" s="20" t="n">
        <v>1.542698</v>
      </c>
      <c r="Q85" s="20" t="n">
        <v>1.529154</v>
      </c>
      <c r="R85" s="20" t="n">
        <v>1.49468</v>
      </c>
      <c r="S85" s="20" t="n">
        <v>1.493702</v>
      </c>
      <c r="T85" s="23">
        <f>IFERROR(AVERAGE(D85:S85),"")</f>
        <v/>
      </c>
    </row>
    <row r="86">
      <c r="A86" s="22" t="n">
        <v>43990</v>
      </c>
      <c r="B86" s="22" t="n">
        <v>43994</v>
      </c>
      <c r="C86">
        <f>TEXT(A86,"yyyy-mm")</f>
        <v/>
      </c>
      <c r="D86" s="20" t="n">
        <v>1.458646</v>
      </c>
      <c r="E86" s="20" t="n">
        <v>1.47256</v>
      </c>
      <c r="F86" s="20" t="n">
        <v>1.458646</v>
      </c>
      <c r="G86" s="20" t="n">
        <v>1.461384</v>
      </c>
      <c r="H86" s="20" t="n">
        <v>1.512458</v>
      </c>
      <c r="I86" s="20" t="n">
        <v>1.499294</v>
      </c>
      <c r="J86" s="20" t="n">
        <v>1.497902</v>
      </c>
      <c r="K86" s="20" t="n">
        <v>1.606378</v>
      </c>
      <c r="L86" s="20" t="n">
        <v>1.68495</v>
      </c>
      <c r="M86" s="20" t="n">
        <v>1.70481</v>
      </c>
      <c r="N86" s="20" t="n">
        <v>1.545398</v>
      </c>
      <c r="O86" s="20" t="n">
        <v>1.562</v>
      </c>
      <c r="P86" s="20" t="n">
        <v>1.602616</v>
      </c>
      <c r="Q86" s="20" t="n">
        <v>1.589622</v>
      </c>
      <c r="R86" s="20" t="n">
        <v>1.556214</v>
      </c>
      <c r="S86" s="20" t="n">
        <v>1.554622</v>
      </c>
      <c r="T86" s="23">
        <f>IFERROR(AVERAGE(D86:S86),"")</f>
        <v/>
      </c>
    </row>
    <row r="87">
      <c r="A87" s="22" t="n">
        <v>43997</v>
      </c>
      <c r="B87" s="22" t="n">
        <v>44001</v>
      </c>
      <c r="C87">
        <f>TEXT(A87,"yyyy-mm")</f>
        <v/>
      </c>
      <c r="D87" s="20" t="n">
        <v>1.555876</v>
      </c>
      <c r="E87" s="20" t="n">
        <v>1.569772</v>
      </c>
      <c r="F87" s="20" t="n">
        <v>1.555876</v>
      </c>
      <c r="G87" s="20" t="n">
        <v>1.55857</v>
      </c>
      <c r="H87" s="20" t="n">
        <v>1.606036</v>
      </c>
      <c r="I87" s="20" t="n">
        <v>1.592866</v>
      </c>
      <c r="J87" s="20" t="n">
        <v>1.591396</v>
      </c>
      <c r="K87" s="20" t="n">
        <v>1.712374</v>
      </c>
      <c r="L87" s="20" t="n">
        <v>1.788768</v>
      </c>
      <c r="M87" s="20" t="n">
        <v>1.809806</v>
      </c>
      <c r="N87" s="20" t="n">
        <v>1.640928</v>
      </c>
      <c r="O87" s="20" t="n">
        <v>1.658516</v>
      </c>
      <c r="P87" s="20" t="n">
        <v>1.701546</v>
      </c>
      <c r="Q87" s="20" t="n">
        <v>1.687776</v>
      </c>
      <c r="R87" s="20" t="n">
        <v>1.65316</v>
      </c>
      <c r="S87" s="20" t="n">
        <v>1.651478</v>
      </c>
      <c r="T87" s="23">
        <f>IFERROR(AVERAGE(D87:S87),"")</f>
        <v/>
      </c>
    </row>
    <row r="88">
      <c r="A88" s="22" t="n">
        <v>44004</v>
      </c>
      <c r="B88" s="22" t="n">
        <v>44008</v>
      </c>
      <c r="C88">
        <f>TEXT(A88,"yyyy-mm")</f>
        <v/>
      </c>
      <c r="D88" s="20" t="n">
        <v>1.639032</v>
      </c>
      <c r="E88" s="20" t="n">
        <v>1.652932</v>
      </c>
      <c r="F88" s="20" t="n">
        <v>1.639032</v>
      </c>
      <c r="G88" s="20" t="n">
        <v>1.641732</v>
      </c>
      <c r="H88" s="20" t="n">
        <v>1.687796</v>
      </c>
      <c r="I88" s="20" t="n">
        <v>1.674592</v>
      </c>
      <c r="J88" s="20" t="n">
        <v>1.673164</v>
      </c>
      <c r="K88" s="20" t="n">
        <v>1.797478</v>
      </c>
      <c r="L88" s="20" t="n">
        <v>1.872796</v>
      </c>
      <c r="M88" s="20" t="n">
        <v>1.894096</v>
      </c>
      <c r="N88" s="20" t="n">
        <v>1.723124</v>
      </c>
      <c r="O88" s="20" t="n">
        <v>1.74093</v>
      </c>
      <c r="P88" s="20" t="n">
        <v>1.78449</v>
      </c>
      <c r="Q88" s="20" t="n">
        <v>1.770552</v>
      </c>
      <c r="R88" s="20" t="n">
        <v>1.735642</v>
      </c>
      <c r="S88" s="20" t="n">
        <v>1.733998</v>
      </c>
      <c r="T88" s="23">
        <f>IFERROR(AVERAGE(D88:S88),"")</f>
        <v/>
      </c>
    </row>
    <row r="89">
      <c r="A89" s="22" t="n">
        <v>44011</v>
      </c>
      <c r="B89" s="22" t="n">
        <v>44014</v>
      </c>
      <c r="C89">
        <f>TEXT(A89,"yyyy-mm")</f>
        <v/>
      </c>
      <c r="D89" s="20" t="n">
        <v>1.597638</v>
      </c>
      <c r="E89" s="20" t="n">
        <v>1.611605</v>
      </c>
      <c r="F89" s="20" t="n">
        <v>1.597638</v>
      </c>
      <c r="G89" s="20" t="n">
        <v>1.60054</v>
      </c>
      <c r="H89" s="20" t="n">
        <v>1.6494</v>
      </c>
      <c r="I89" s="20" t="n">
        <v>1.635973</v>
      </c>
      <c r="J89" s="20" t="n">
        <v>1.635178</v>
      </c>
      <c r="K89" s="20" t="n">
        <v>1.758515</v>
      </c>
      <c r="L89" s="20" t="n">
        <v>1.837243</v>
      </c>
      <c r="M89" s="20" t="n">
        <v>1.858868</v>
      </c>
      <c r="N89" s="20" t="n">
        <v>1.685273</v>
      </c>
      <c r="O89" s="20" t="n">
        <v>1.703353</v>
      </c>
      <c r="P89" s="20" t="n">
        <v>1.747583</v>
      </c>
      <c r="Q89" s="20" t="n">
        <v>1.733428</v>
      </c>
      <c r="R89" s="20" t="n">
        <v>1.697953</v>
      </c>
      <c r="S89" s="20" t="n">
        <v>1.696943</v>
      </c>
      <c r="T89" s="23">
        <f>IFERROR(AVERAGE(D89:S89),"")</f>
        <v/>
      </c>
    </row>
    <row r="90">
      <c r="A90" s="22" t="n">
        <v>44018</v>
      </c>
      <c r="B90" s="22" t="n">
        <v>44022</v>
      </c>
      <c r="C90">
        <f>TEXT(A90,"yyyy-mm")</f>
        <v/>
      </c>
      <c r="D90" s="20" t="n">
        <v>1.68778</v>
      </c>
      <c r="E90" s="20" t="n">
        <v>1.70172</v>
      </c>
      <c r="F90" s="20" t="n">
        <v>1.68778</v>
      </c>
      <c r="G90" s="20" t="n">
        <v>1.690606</v>
      </c>
      <c r="H90" s="20" t="n">
        <v>1.740304</v>
      </c>
      <c r="I90" s="20" t="n">
        <v>1.726992</v>
      </c>
      <c r="J90" s="20" t="n">
        <v>1.725928</v>
      </c>
      <c r="K90" s="20" t="n">
        <v>1.847622</v>
      </c>
      <c r="L90" s="20" t="n">
        <v>1.926936</v>
      </c>
      <c r="M90" s="20" t="n">
        <v>1.948426</v>
      </c>
      <c r="N90" s="20" t="n">
        <v>1.77594</v>
      </c>
      <c r="O90" s="20" t="n">
        <v>1.793906</v>
      </c>
      <c r="P90" s="20" t="n">
        <v>1.837852</v>
      </c>
      <c r="Q90" s="20" t="n">
        <v>1.82379</v>
      </c>
      <c r="R90" s="20" t="n">
        <v>1.788576</v>
      </c>
      <c r="S90" s="20" t="n">
        <v>1.787294</v>
      </c>
      <c r="T90" s="23">
        <f>IFERROR(AVERAGE(D90:S90),"")</f>
        <v/>
      </c>
    </row>
    <row r="91">
      <c r="A91" s="22" t="n">
        <v>44025</v>
      </c>
      <c r="B91" s="22" t="n">
        <v>44029</v>
      </c>
      <c r="C91">
        <f>TEXT(A91,"yyyy-mm")</f>
        <v/>
      </c>
      <c r="D91" s="20" t="n">
        <v>1.689334</v>
      </c>
      <c r="E91" s="20" t="n">
        <v>1.703296</v>
      </c>
      <c r="F91" s="20" t="n">
        <v>1.689334</v>
      </c>
      <c r="G91" s="20" t="n">
        <v>1.692222</v>
      </c>
      <c r="H91" s="20" t="n">
        <v>1.751528</v>
      </c>
      <c r="I91" s="20" t="n">
        <v>1.738314</v>
      </c>
      <c r="J91" s="20" t="n">
        <v>1.737268</v>
      </c>
      <c r="K91" s="20" t="n">
        <v>1.849328</v>
      </c>
      <c r="L91" s="20" t="n">
        <v>1.938342</v>
      </c>
      <c r="M91" s="20" t="n">
        <v>1.95985</v>
      </c>
      <c r="N91" s="20" t="n">
        <v>1.787202</v>
      </c>
      <c r="O91" s="20" t="n">
        <v>1.805184</v>
      </c>
      <c r="P91" s="20" t="n">
        <v>1.849172</v>
      </c>
      <c r="Q91" s="20" t="n">
        <v>1.8351</v>
      </c>
      <c r="R91" s="20" t="n">
        <v>1.799958</v>
      </c>
      <c r="S91" s="20" t="n">
        <v>1.798696</v>
      </c>
      <c r="T91" s="23">
        <f>IFERROR(AVERAGE(D91:S91),"")</f>
        <v/>
      </c>
    </row>
    <row r="92">
      <c r="A92" s="22" t="n">
        <v>44032</v>
      </c>
      <c r="B92" s="22" t="n">
        <v>44036</v>
      </c>
      <c r="C92">
        <f>TEXT(A92,"yyyy-mm")</f>
        <v/>
      </c>
      <c r="D92" s="20" t="n">
        <v>1.64226</v>
      </c>
      <c r="E92" s="20" t="n">
        <v>1.65636</v>
      </c>
      <c r="F92" s="20" t="n">
        <v>1.64226</v>
      </c>
      <c r="G92" s="20" t="n">
        <v>1.645554</v>
      </c>
      <c r="H92" s="20" t="n">
        <v>1.707948</v>
      </c>
      <c r="I92" s="20" t="n">
        <v>1.69424</v>
      </c>
      <c r="J92" s="20" t="n">
        <v>1.694484</v>
      </c>
      <c r="K92" s="20" t="n">
        <v>1.797514</v>
      </c>
      <c r="L92" s="20" t="n">
        <v>1.889222</v>
      </c>
      <c r="M92" s="20" t="n">
        <v>1.910092</v>
      </c>
      <c r="N92" s="20" t="n">
        <v>1.742564</v>
      </c>
      <c r="O92" s="20" t="n">
        <v>1.760012</v>
      </c>
      <c r="P92" s="20" t="n">
        <v>1.802698</v>
      </c>
      <c r="Q92" s="20" t="n">
        <v>1.789036</v>
      </c>
      <c r="R92" s="20" t="n">
        <v>1.75406</v>
      </c>
      <c r="S92" s="20" t="n">
        <v>1.75409</v>
      </c>
      <c r="T92" s="23">
        <f>IFERROR(AVERAGE(D92:S92),"")</f>
        <v/>
      </c>
    </row>
    <row r="93">
      <c r="A93" s="22" t="n">
        <v>44039</v>
      </c>
      <c r="B93" s="22" t="n">
        <v>44043</v>
      </c>
      <c r="C93">
        <f>TEXT(A93,"yyyy-mm")</f>
        <v/>
      </c>
      <c r="D93" s="20" t="n">
        <v>1.60914</v>
      </c>
      <c r="E93" s="20" t="n">
        <v>1.623164</v>
      </c>
      <c r="F93" s="20" t="n">
        <v>1.60914</v>
      </c>
      <c r="G93" s="20" t="n">
        <v>1.61221</v>
      </c>
      <c r="H93" s="20" t="n">
        <v>1.669336</v>
      </c>
      <c r="I93" s="20" t="n">
        <v>1.655832</v>
      </c>
      <c r="J93" s="20" t="n">
        <v>1.655434</v>
      </c>
      <c r="K93" s="20" t="n">
        <v>1.763552</v>
      </c>
      <c r="L93" s="20" t="n">
        <v>1.849624</v>
      </c>
      <c r="M93" s="20" t="n">
        <v>1.870384</v>
      </c>
      <c r="N93" s="20" t="n">
        <v>1.703762</v>
      </c>
      <c r="O93" s="20" t="n">
        <v>1.721116</v>
      </c>
      <c r="P93" s="20" t="n">
        <v>1.763568</v>
      </c>
      <c r="Q93" s="20" t="n">
        <v>1.749982</v>
      </c>
      <c r="R93" s="20" t="n">
        <v>1.715322</v>
      </c>
      <c r="S93" s="20" t="n">
        <v>1.714716</v>
      </c>
      <c r="T93" s="23">
        <f>IFERROR(AVERAGE(D93:S93),"")</f>
        <v/>
      </c>
    </row>
    <row r="94">
      <c r="A94" s="22" t="n">
        <v>44046</v>
      </c>
      <c r="B94" s="22" t="n">
        <v>44050</v>
      </c>
      <c r="C94">
        <f>TEXT(A94,"yyyy-mm")</f>
        <v/>
      </c>
      <c r="D94" s="20" t="n">
        <v>1.598146</v>
      </c>
      <c r="E94" s="20" t="n">
        <v>1.612164</v>
      </c>
      <c r="F94" s="20" t="n">
        <v>1.598146</v>
      </c>
      <c r="G94" s="20" t="n">
        <v>1.601198</v>
      </c>
      <c r="H94" s="20" t="n">
        <v>1.656474</v>
      </c>
      <c r="I94" s="20" t="n">
        <v>1.642962</v>
      </c>
      <c r="J94" s="20" t="n">
        <v>1.642534</v>
      </c>
      <c r="K94" s="20" t="n">
        <v>1.757672</v>
      </c>
      <c r="L94" s="20" t="n">
        <v>1.842736</v>
      </c>
      <c r="M94" s="20" t="n">
        <v>1.86418</v>
      </c>
      <c r="N94" s="20" t="n">
        <v>1.692042</v>
      </c>
      <c r="O94" s="20" t="n">
        <v>1.70997</v>
      </c>
      <c r="P94" s="20" t="n">
        <v>1.753828</v>
      </c>
      <c r="Q94" s="20" t="n">
        <v>1.739796</v>
      </c>
      <c r="R94" s="20" t="n">
        <v>1.704424</v>
      </c>
      <c r="S94" s="20" t="n">
        <v>1.70378</v>
      </c>
      <c r="T94" s="23">
        <f>IFERROR(AVERAGE(D94:S94),"")</f>
        <v/>
      </c>
    </row>
    <row r="95">
      <c r="A95" s="22" t="n">
        <v>44053</v>
      </c>
      <c r="B95" s="22" t="n">
        <v>44057</v>
      </c>
      <c r="C95">
        <f>TEXT(A95,"yyyy-mm")</f>
        <v/>
      </c>
      <c r="D95" s="20" t="n">
        <v>1.694842</v>
      </c>
      <c r="E95" s="20" t="n">
        <v>1.708946</v>
      </c>
      <c r="F95" s="20" t="n">
        <v>1.694842</v>
      </c>
      <c r="G95" s="20" t="n">
        <v>1.698162</v>
      </c>
      <c r="H95" s="20" t="n">
        <v>1.75866</v>
      </c>
      <c r="I95" s="20" t="n">
        <v>1.744878</v>
      </c>
      <c r="J95" s="20" t="n">
        <v>1.74525</v>
      </c>
      <c r="K95" s="20" t="n">
        <v>1.857006</v>
      </c>
      <c r="L95" s="20" t="n">
        <v>1.948002</v>
      </c>
      <c r="M95" s="20" t="n">
        <v>1.969802</v>
      </c>
      <c r="N95" s="20" t="n">
        <v>1.794814</v>
      </c>
      <c r="O95" s="20" t="n">
        <v>1.813038</v>
      </c>
      <c r="P95" s="20" t="n">
        <v>1.857624</v>
      </c>
      <c r="Q95" s="20" t="n">
        <v>1.843358</v>
      </c>
      <c r="R95" s="20" t="n">
        <v>1.807362</v>
      </c>
      <c r="S95" s="20" t="n">
        <v>1.80751</v>
      </c>
      <c r="T95" s="23">
        <f>IFERROR(AVERAGE(D95:S95),"")</f>
        <v/>
      </c>
    </row>
    <row r="96">
      <c r="A96" s="22" t="n">
        <v>44060</v>
      </c>
      <c r="B96" s="22" t="n">
        <v>44064</v>
      </c>
      <c r="C96">
        <f>TEXT(A96,"yyyy-mm")</f>
        <v/>
      </c>
      <c r="D96" s="20" t="n">
        <v>1.805232</v>
      </c>
      <c r="E96" s="20" t="n">
        <v>1.819488</v>
      </c>
      <c r="F96" s="20" t="n">
        <v>1.805232</v>
      </c>
      <c r="G96" s="20" t="n">
        <v>1.808998</v>
      </c>
      <c r="H96" s="20" t="n">
        <v>1.872554</v>
      </c>
      <c r="I96" s="20" t="n">
        <v>1.858222</v>
      </c>
      <c r="J96" s="20" t="n">
        <v>1.860038</v>
      </c>
      <c r="K96" s="20" t="n">
        <v>1.970706</v>
      </c>
      <c r="L96" s="20" t="n">
        <v>2.065762</v>
      </c>
      <c r="M96" s="20" t="n">
        <v>2.088006</v>
      </c>
      <c r="N96" s="20" t="n">
        <v>1.909448</v>
      </c>
      <c r="O96" s="20" t="n">
        <v>1.928046</v>
      </c>
      <c r="P96" s="20" t="n">
        <v>1.97354</v>
      </c>
      <c r="Q96" s="20" t="n">
        <v>1.958986</v>
      </c>
      <c r="R96" s="20" t="n">
        <v>1.921976</v>
      </c>
      <c r="S96" s="20" t="n">
        <v>1.923566</v>
      </c>
      <c r="T96" s="23">
        <f>IFERROR(AVERAGE(D96:S96),"")</f>
        <v/>
      </c>
    </row>
    <row r="97">
      <c r="A97" s="22" t="n">
        <v>44067</v>
      </c>
      <c r="B97" s="22" t="n">
        <v>44071</v>
      </c>
      <c r="C97">
        <f>TEXT(A97,"yyyy-mm")</f>
        <v/>
      </c>
      <c r="D97" s="20" t="n">
        <v>1.875398</v>
      </c>
      <c r="E97" s="20" t="n">
        <v>1.88953</v>
      </c>
      <c r="F97" s="20" t="n">
        <v>1.875398</v>
      </c>
      <c r="G97" s="20" t="n">
        <v>1.87879</v>
      </c>
      <c r="H97" s="20" t="n">
        <v>1.937366</v>
      </c>
      <c r="I97" s="20" t="n">
        <v>1.923448</v>
      </c>
      <c r="J97" s="20" t="n">
        <v>1.924106</v>
      </c>
      <c r="K97" s="20" t="n">
        <v>2.041094</v>
      </c>
      <c r="L97" s="20" t="n">
        <v>2.130836</v>
      </c>
      <c r="M97" s="20" t="n">
        <v>2.153112</v>
      </c>
      <c r="N97" s="20" t="n">
        <v>1.97431</v>
      </c>
      <c r="O97" s="20" t="n">
        <v>1.992932</v>
      </c>
      <c r="P97" s="20" t="n">
        <v>2.03849</v>
      </c>
      <c r="Q97" s="20" t="n">
        <v>2.023912</v>
      </c>
      <c r="R97" s="20" t="n">
        <v>1.987288</v>
      </c>
      <c r="S97" s="20" t="n">
        <v>1.987724</v>
      </c>
      <c r="T97" s="23">
        <f>IFERROR(AVERAGE(D97:S97),"")</f>
        <v/>
      </c>
    </row>
    <row r="98">
      <c r="A98" s="22" t="n">
        <v>44074</v>
      </c>
      <c r="B98" s="22" t="n">
        <v>44078</v>
      </c>
      <c r="C98">
        <f>TEXT(A98,"yyyy-mm")</f>
        <v/>
      </c>
      <c r="D98" s="20" t="n">
        <v>1.757864</v>
      </c>
      <c r="E98" s="20" t="n">
        <v>1.771788</v>
      </c>
      <c r="F98" s="20" t="n">
        <v>1.757864</v>
      </c>
      <c r="G98" s="20" t="n">
        <v>1.760638</v>
      </c>
      <c r="H98" s="20" t="n">
        <v>1.811136</v>
      </c>
      <c r="I98" s="20" t="n">
        <v>1.797914</v>
      </c>
      <c r="J98" s="20" t="n">
        <v>1.79665</v>
      </c>
      <c r="K98" s="20" t="n">
        <v>1.918078</v>
      </c>
      <c r="L98" s="20" t="n">
        <v>1.998202</v>
      </c>
      <c r="M98" s="20" t="n">
        <v>2.019738</v>
      </c>
      <c r="N98" s="20" t="n">
        <v>1.846856</v>
      </c>
      <c r="O98" s="20" t="n">
        <v>1.864864</v>
      </c>
      <c r="P98" s="20" t="n">
        <v>1.908912</v>
      </c>
      <c r="Q98" s="20" t="n">
        <v>1.894818</v>
      </c>
      <c r="R98" s="20" t="n">
        <v>1.85964</v>
      </c>
      <c r="S98" s="20" t="n">
        <v>1.85816</v>
      </c>
      <c r="T98" s="23">
        <f>IFERROR(AVERAGE(D98:S98),"")</f>
        <v/>
      </c>
    </row>
    <row r="99">
      <c r="A99" s="22" t="n">
        <v>44081</v>
      </c>
      <c r="B99" s="22" t="n">
        <v>44085</v>
      </c>
      <c r="C99">
        <f>TEXT(A99,"yyyy-mm")</f>
        <v/>
      </c>
      <c r="D99" s="20" t="n">
        <v>1.604355</v>
      </c>
      <c r="E99" s="20" t="n">
        <v>1.618218</v>
      </c>
      <c r="F99" s="20" t="n">
        <v>1.604355</v>
      </c>
      <c r="G99" s="20" t="n">
        <v>1.60694</v>
      </c>
      <c r="H99" s="20" t="n">
        <v>1.653273</v>
      </c>
      <c r="I99" s="20" t="n">
        <v>1.64023</v>
      </c>
      <c r="J99" s="20" t="n">
        <v>1.638413</v>
      </c>
      <c r="K99" s="20" t="n">
        <v>1.763353</v>
      </c>
      <c r="L99" s="20" t="n">
        <v>1.838913</v>
      </c>
      <c r="M99" s="20" t="n">
        <v>1.860285</v>
      </c>
      <c r="N99" s="20" t="n">
        <v>1.68872</v>
      </c>
      <c r="O99" s="20" t="n">
        <v>1.70659</v>
      </c>
      <c r="P99" s="20" t="n">
        <v>1.750303</v>
      </c>
      <c r="Q99" s="20" t="n">
        <v>1.736318</v>
      </c>
      <c r="R99" s="20" t="n">
        <v>1.701488</v>
      </c>
      <c r="S99" s="20" t="n">
        <v>1.699455</v>
      </c>
      <c r="T99" s="23">
        <f>IFERROR(AVERAGE(D99:S99),"")</f>
        <v/>
      </c>
    </row>
    <row r="100">
      <c r="A100" s="22" t="n">
        <v>44088</v>
      </c>
      <c r="B100" s="22" t="n">
        <v>44092</v>
      </c>
      <c r="C100">
        <f>TEXT(A100,"yyyy-mm")</f>
        <v/>
      </c>
      <c r="D100" s="20" t="n">
        <v>1.616958</v>
      </c>
      <c r="E100" s="20" t="n">
        <v>1.630812</v>
      </c>
      <c r="F100" s="20" t="n">
        <v>1.616958</v>
      </c>
      <c r="G100" s="20" t="n">
        <v>1.61952</v>
      </c>
      <c r="H100" s="20" t="n">
        <v>1.662492</v>
      </c>
      <c r="I100" s="20" t="n">
        <v>1.649416</v>
      </c>
      <c r="J100" s="20" t="n">
        <v>1.64759</v>
      </c>
      <c r="K100" s="20" t="n">
        <v>1.774514</v>
      </c>
      <c r="L100" s="20" t="n">
        <v>1.846456</v>
      </c>
      <c r="M100" s="20" t="n">
        <v>1.867634</v>
      </c>
      <c r="N100" s="20" t="n">
        <v>1.69762</v>
      </c>
      <c r="O100" s="20" t="n">
        <v>1.715326</v>
      </c>
      <c r="P100" s="20" t="n">
        <v>1.758642</v>
      </c>
      <c r="Q100" s="20" t="n">
        <v>1.744784</v>
      </c>
      <c r="R100" s="20" t="n">
        <v>1.710118</v>
      </c>
      <c r="S100" s="20" t="n">
        <v>1.70808</v>
      </c>
      <c r="T100" s="23">
        <f>IFERROR(AVERAGE(D100:S100),"")</f>
        <v/>
      </c>
    </row>
    <row r="101">
      <c r="A101" s="22" t="n">
        <v>44095</v>
      </c>
      <c r="B101" s="22" t="n">
        <v>44099</v>
      </c>
      <c r="C101">
        <f>TEXT(A101,"yyyy-mm")</f>
        <v/>
      </c>
      <c r="D101" s="20" t="n">
        <v>1.726672</v>
      </c>
      <c r="E101" s="20" t="n">
        <v>1.740562</v>
      </c>
      <c r="F101" s="20" t="n">
        <v>1.726672</v>
      </c>
      <c r="G101" s="20" t="n">
        <v>1.729342</v>
      </c>
      <c r="H101" s="20" t="n">
        <v>1.773188</v>
      </c>
      <c r="I101" s="20" t="n">
        <v>1.759978</v>
      </c>
      <c r="J101" s="20" t="n">
        <v>1.758506</v>
      </c>
      <c r="K101" s="20" t="n">
        <v>1.890978</v>
      </c>
      <c r="L101" s="20" t="n">
        <v>1.965032</v>
      </c>
      <c r="M101" s="20" t="n">
        <v>1.98712</v>
      </c>
      <c r="N101" s="20" t="n">
        <v>1.80982</v>
      </c>
      <c r="O101" s="20" t="n">
        <v>1.828288</v>
      </c>
      <c r="P101" s="20" t="n">
        <v>1.873462</v>
      </c>
      <c r="Q101" s="20" t="n">
        <v>1.859008</v>
      </c>
      <c r="R101" s="20" t="n">
        <v>1.823284</v>
      </c>
      <c r="S101" s="20" t="n">
        <v>1.821586</v>
      </c>
      <c r="T101" s="23">
        <f>IFERROR(AVERAGE(D101:S101),"")</f>
        <v/>
      </c>
    </row>
    <row r="102">
      <c r="A102" s="22" t="n">
        <v>44102</v>
      </c>
      <c r="B102" s="22" t="n">
        <v>44106</v>
      </c>
      <c r="C102">
        <f>TEXT(A102,"yyyy-mm")</f>
        <v/>
      </c>
      <c r="D102" s="20" t="n">
        <v>1.740272</v>
      </c>
      <c r="E102" s="20" t="n">
        <v>1.754272</v>
      </c>
      <c r="F102" s="20" t="n">
        <v>1.740272</v>
      </c>
      <c r="G102" s="20" t="n">
        <v>1.743268</v>
      </c>
      <c r="H102" s="20" t="n">
        <v>1.793276</v>
      </c>
      <c r="I102" s="20" t="n">
        <v>1.77974</v>
      </c>
      <c r="J102" s="20" t="n">
        <v>1.779232</v>
      </c>
      <c r="K102" s="20" t="n">
        <v>1.908642</v>
      </c>
      <c r="L102" s="20" t="n">
        <v>1.98986</v>
      </c>
      <c r="M102" s="20" t="n">
        <v>2.012496</v>
      </c>
      <c r="N102" s="20" t="n">
        <v>1.830814</v>
      </c>
      <c r="O102" s="20" t="n">
        <v>1.849736</v>
      </c>
      <c r="P102" s="20" t="n">
        <v>1.896026</v>
      </c>
      <c r="Q102" s="20" t="n">
        <v>1.881216</v>
      </c>
      <c r="R102" s="20" t="n">
        <v>1.844612</v>
      </c>
      <c r="S102" s="20" t="n">
        <v>1.843874</v>
      </c>
      <c r="T102" s="23">
        <f>IFERROR(AVERAGE(D102:S102),"")</f>
        <v/>
      </c>
    </row>
    <row r="103">
      <c r="A103" s="22" t="n">
        <v>44109</v>
      </c>
      <c r="B103" s="22" t="n">
        <v>44113</v>
      </c>
      <c r="C103">
        <f>TEXT(A103,"yyyy-mm")</f>
        <v/>
      </c>
      <c r="D103" s="20" t="n">
        <v>1.753864</v>
      </c>
      <c r="E103" s="20" t="n">
        <v>1.767852</v>
      </c>
      <c r="F103" s="20" t="n">
        <v>1.753864</v>
      </c>
      <c r="G103" s="20" t="n">
        <v>1.756826</v>
      </c>
      <c r="H103" s="20" t="n">
        <v>1.80526</v>
      </c>
      <c r="I103" s="20" t="n">
        <v>1.791738</v>
      </c>
      <c r="J103" s="20" t="n">
        <v>1.791156</v>
      </c>
      <c r="K103" s="20" t="n">
        <v>1.920428</v>
      </c>
      <c r="L103" s="20" t="n">
        <v>1.999744</v>
      </c>
      <c r="M103" s="20" t="n">
        <v>2.022132</v>
      </c>
      <c r="N103" s="20" t="n">
        <v>1.842398</v>
      </c>
      <c r="O103" s="20" t="n">
        <v>1.861118</v>
      </c>
      <c r="P103" s="20" t="n">
        <v>1.90691</v>
      </c>
      <c r="Q103" s="20" t="n">
        <v>1.89226</v>
      </c>
      <c r="R103" s="20" t="n">
        <v>1.855916</v>
      </c>
      <c r="S103" s="20" t="n">
        <v>1.855106</v>
      </c>
      <c r="T103" s="23">
        <f>IFERROR(AVERAGE(D103:S103),"")</f>
        <v/>
      </c>
    </row>
    <row r="104">
      <c r="A104" s="22" t="n">
        <v>44116</v>
      </c>
      <c r="B104" s="22" t="n">
        <v>44120</v>
      </c>
      <c r="C104">
        <f>TEXT(A104,"yyyy-mm")</f>
        <v/>
      </c>
      <c r="D104" s="20" t="n">
        <v>1.720954</v>
      </c>
      <c r="E104" s="20" t="n">
        <v>1.734866</v>
      </c>
      <c r="F104" s="20" t="n">
        <v>1.720954</v>
      </c>
      <c r="G104" s="20" t="n">
        <v>1.723696</v>
      </c>
      <c r="H104" s="20" t="n">
        <v>1.76775</v>
      </c>
      <c r="I104" s="20" t="n">
        <v>1.754444</v>
      </c>
      <c r="J104" s="20" t="n">
        <v>1.753214</v>
      </c>
      <c r="K104" s="20" t="n">
        <v>1.887866</v>
      </c>
      <c r="L104" s="20" t="n">
        <v>1.962636</v>
      </c>
      <c r="M104" s="20" t="n">
        <v>1.985072</v>
      </c>
      <c r="N104" s="20" t="n">
        <v>1.804964</v>
      </c>
      <c r="O104" s="20" t="n">
        <v>1.82372</v>
      </c>
      <c r="P104" s="20" t="n">
        <v>1.869614</v>
      </c>
      <c r="Q104" s="20" t="n">
        <v>1.854928</v>
      </c>
      <c r="R104" s="20" t="n">
        <v>1.818752</v>
      </c>
      <c r="S104" s="20" t="n">
        <v>1.817298</v>
      </c>
      <c r="T104" s="23">
        <f>IFERROR(AVERAGE(D104:S104),"")</f>
        <v/>
      </c>
    </row>
    <row r="105">
      <c r="A105" s="22" t="n">
        <v>44123</v>
      </c>
      <c r="B105" s="22" t="n">
        <v>44127</v>
      </c>
      <c r="C105">
        <f>TEXT(A105,"yyyy-mm")</f>
        <v/>
      </c>
      <c r="D105" s="20" t="n">
        <v>1.662472</v>
      </c>
      <c r="E105" s="20" t="n">
        <v>1.676378</v>
      </c>
      <c r="F105" s="20" t="n">
        <v>1.662472</v>
      </c>
      <c r="G105" s="20" t="n">
        <v>1.665186</v>
      </c>
      <c r="H105" s="20" t="n">
        <v>1.707834</v>
      </c>
      <c r="I105" s="20" t="n">
        <v>1.694544</v>
      </c>
      <c r="J105" s="20" t="n">
        <v>1.693242</v>
      </c>
      <c r="K105" s="20" t="n">
        <v>1.82954</v>
      </c>
      <c r="L105" s="20" t="n">
        <v>1.902904</v>
      </c>
      <c r="M105" s="20" t="n">
        <v>1.925364</v>
      </c>
      <c r="N105" s="20" t="n">
        <v>1.745084</v>
      </c>
      <c r="O105" s="20" t="n">
        <v>1.763862</v>
      </c>
      <c r="P105" s="20" t="n">
        <v>1.809796</v>
      </c>
      <c r="Q105" s="20" t="n">
        <v>1.795096</v>
      </c>
      <c r="R105" s="20" t="n">
        <v>1.758914</v>
      </c>
      <c r="S105" s="20" t="n">
        <v>1.757386</v>
      </c>
      <c r="T105" s="23">
        <f>IFERROR(AVERAGE(D105:S105),"")</f>
        <v/>
      </c>
    </row>
    <row r="106">
      <c r="A106" s="22" t="n">
        <v>44130</v>
      </c>
      <c r="B106" s="22" t="n">
        <v>44134</v>
      </c>
      <c r="C106">
        <f>TEXT(A106,"yyyy-mm")</f>
        <v/>
      </c>
      <c r="D106" s="20" t="n">
        <v>1.581168</v>
      </c>
      <c r="E106" s="20" t="n">
        <v>1.595062</v>
      </c>
      <c r="F106" s="20" t="n">
        <v>1.581168</v>
      </c>
      <c r="G106" s="20" t="n">
        <v>1.583856</v>
      </c>
      <c r="H106" s="20" t="n">
        <v>1.626102</v>
      </c>
      <c r="I106" s="20" t="n">
        <v>1.612838</v>
      </c>
      <c r="J106" s="20" t="n">
        <v>1.611458</v>
      </c>
      <c r="K106" s="20" t="n">
        <v>1.751604</v>
      </c>
      <c r="L106" s="20" t="n">
        <v>1.825104</v>
      </c>
      <c r="M106" s="20" t="n">
        <v>1.848018</v>
      </c>
      <c r="N106" s="20" t="n">
        <v>1.6641</v>
      </c>
      <c r="O106" s="20" t="n">
        <v>1.683258</v>
      </c>
      <c r="P106" s="20" t="n">
        <v>1.730116</v>
      </c>
      <c r="Q106" s="20" t="n">
        <v>1.715122</v>
      </c>
      <c r="R106" s="20" t="n">
        <v>1.678506</v>
      </c>
      <c r="S106" s="20" t="n">
        <v>1.676892</v>
      </c>
      <c r="T106" s="23">
        <f>IFERROR(AVERAGE(D106:S106),"")</f>
        <v/>
      </c>
    </row>
    <row r="107">
      <c r="A107" s="22" t="n">
        <v>44137</v>
      </c>
      <c r="B107" s="22" t="n">
        <v>44141</v>
      </c>
      <c r="C107">
        <f>TEXT(A107,"yyyy-mm")</f>
        <v/>
      </c>
      <c r="D107" s="20" t="n">
        <v>1.59206</v>
      </c>
      <c r="E107" s="20" t="n">
        <v>1.605942</v>
      </c>
      <c r="F107" s="20" t="n">
        <v>1.59206</v>
      </c>
      <c r="G107" s="20" t="n">
        <v>1.59471</v>
      </c>
      <c r="H107" s="20" t="n">
        <v>1.636524</v>
      </c>
      <c r="I107" s="20" t="n">
        <v>1.623302</v>
      </c>
      <c r="J107" s="20" t="n">
        <v>1.621804</v>
      </c>
      <c r="K107" s="20" t="n">
        <v>1.760078</v>
      </c>
      <c r="L107" s="20" t="n">
        <v>1.8327</v>
      </c>
      <c r="M107" s="20" t="n">
        <v>1.855284</v>
      </c>
      <c r="N107" s="20" t="n">
        <v>1.673984</v>
      </c>
      <c r="O107" s="20" t="n">
        <v>1.692864</v>
      </c>
      <c r="P107" s="20" t="n">
        <v>1.73906</v>
      </c>
      <c r="Q107" s="20" t="n">
        <v>1.724276</v>
      </c>
      <c r="R107" s="20" t="n">
        <v>1.688038</v>
      </c>
      <c r="S107" s="20" t="n">
        <v>1.68631</v>
      </c>
      <c r="T107" s="23">
        <f>IFERROR(AVERAGE(D107:S107),"")</f>
        <v/>
      </c>
    </row>
    <row r="108">
      <c r="A108" s="22" t="n">
        <v>44144</v>
      </c>
      <c r="B108" s="22" t="n">
        <v>44148</v>
      </c>
      <c r="C108">
        <f>TEXT(A108,"yyyy-mm")</f>
        <v/>
      </c>
      <c r="D108" s="20" t="n">
        <v>1.645628</v>
      </c>
      <c r="E108" s="20" t="n">
        <v>1.659498</v>
      </c>
      <c r="F108" s="20" t="n">
        <v>1.645628</v>
      </c>
      <c r="G108" s="20" t="n">
        <v>1.64825</v>
      </c>
      <c r="H108" s="20" t="n">
        <v>1.688998</v>
      </c>
      <c r="I108" s="20" t="n">
        <v>1.675798</v>
      </c>
      <c r="J108" s="20" t="n">
        <v>1.674224</v>
      </c>
      <c r="K108" s="20" t="n">
        <v>1.807902</v>
      </c>
      <c r="L108" s="20" t="n">
        <v>1.878474</v>
      </c>
      <c r="M108" s="20" t="n">
        <v>1.90029</v>
      </c>
      <c r="N108" s="20" t="n">
        <v>1.72514832</v>
      </c>
      <c r="O108" s="20" t="n">
        <v>1.74342</v>
      </c>
      <c r="P108" s="20" t="n">
        <v>1.788032</v>
      </c>
      <c r="Q108" s="20" t="n">
        <v>1.77376</v>
      </c>
      <c r="R108" s="20" t="n">
        <v>1.738322</v>
      </c>
      <c r="S108" s="20" t="n">
        <v>1.736526</v>
      </c>
      <c r="T108" s="23">
        <f>IFERROR(AVERAGE(D108:S108),"")</f>
        <v/>
      </c>
    </row>
    <row r="109">
      <c r="A109" s="22" t="n">
        <v>44151</v>
      </c>
      <c r="B109" s="22" t="n">
        <v>44155</v>
      </c>
      <c r="C109">
        <f>TEXT(A109,"yyyy-mm")</f>
        <v/>
      </c>
      <c r="D109" s="20" t="n">
        <v>1.60286</v>
      </c>
      <c r="E109" s="20" t="n">
        <v>1.616718</v>
      </c>
      <c r="F109" s="20" t="n">
        <v>1.60286</v>
      </c>
      <c r="G109" s="20" t="n">
        <v>1.605434</v>
      </c>
      <c r="H109" s="20" t="n">
        <v>1.645232</v>
      </c>
      <c r="I109" s="20" t="n">
        <v>1.63208</v>
      </c>
      <c r="J109" s="20" t="n">
        <v>1.630362</v>
      </c>
      <c r="K109" s="20" t="n">
        <v>1.76306</v>
      </c>
      <c r="L109" s="20" t="n">
        <v>1.832286</v>
      </c>
      <c r="M109" s="20" t="n">
        <v>1.853822</v>
      </c>
      <c r="N109" s="20" t="n">
        <v>1.680954</v>
      </c>
      <c r="O109" s="20" t="n">
        <v>1.698958</v>
      </c>
      <c r="P109" s="20" t="n">
        <v>1.743002</v>
      </c>
      <c r="Q109" s="20" t="n">
        <v>1.728908</v>
      </c>
      <c r="R109" s="20" t="n">
        <v>1.693806</v>
      </c>
      <c r="S109" s="20" t="n">
        <v>1.69187</v>
      </c>
      <c r="T109" s="23">
        <f>IFERROR(AVERAGE(D109:S109),"")</f>
        <v/>
      </c>
    </row>
    <row r="110">
      <c r="A110" s="22" t="n">
        <v>44158</v>
      </c>
      <c r="B110" s="22" t="n">
        <v>44160</v>
      </c>
      <c r="C110">
        <f>TEXT(A110,"yyyy-mm")</f>
        <v/>
      </c>
      <c r="D110" s="20" t="n">
        <v>1.673877</v>
      </c>
      <c r="E110" s="20" t="n">
        <v>1.68775</v>
      </c>
      <c r="F110" s="20" t="n">
        <v>1.673877</v>
      </c>
      <c r="G110" s="20" t="n">
        <v>1.676493</v>
      </c>
      <c r="H110" s="20" t="n">
        <v>1.71654</v>
      </c>
      <c r="I110" s="20" t="n">
        <v>1.703337</v>
      </c>
      <c r="J110" s="20" t="n">
        <v>1.70175</v>
      </c>
      <c r="K110" s="20" t="n">
        <v>1.834723</v>
      </c>
      <c r="L110" s="20" t="n">
        <v>1.904347</v>
      </c>
      <c r="M110" s="20" t="n">
        <v>1.925967</v>
      </c>
      <c r="N110" s="20" t="n">
        <v>1.752403</v>
      </c>
      <c r="O110" s="20" t="n">
        <v>1.770483</v>
      </c>
      <c r="P110" s="20" t="n">
        <v>1.814703</v>
      </c>
      <c r="Q110" s="20" t="n">
        <v>1.80055</v>
      </c>
      <c r="R110" s="20" t="n">
        <v>1.76531</v>
      </c>
      <c r="S110" s="20" t="n">
        <v>1.763503</v>
      </c>
      <c r="T110" s="23">
        <f>IFERROR(AVERAGE(D110:S110),"")</f>
        <v/>
      </c>
    </row>
    <row r="111">
      <c r="A111" s="22" t="n">
        <v>44165</v>
      </c>
      <c r="B111" s="22" t="n">
        <v>44169</v>
      </c>
      <c r="C111">
        <f>TEXT(A111,"yyyy-mm")</f>
        <v/>
      </c>
      <c r="D111" s="20" t="n">
        <v>1.678766</v>
      </c>
      <c r="E111" s="20" t="n">
        <v>1.692596</v>
      </c>
      <c r="F111" s="20" t="n">
        <v>1.678766</v>
      </c>
      <c r="G111" s="20" t="n">
        <v>1.681256</v>
      </c>
      <c r="H111" s="20" t="n">
        <v>1.720078</v>
      </c>
      <c r="I111" s="20" t="n">
        <v>1.707022</v>
      </c>
      <c r="J111" s="20" t="n">
        <v>1.705044</v>
      </c>
      <c r="K111" s="20" t="n">
        <v>1.83476</v>
      </c>
      <c r="L111" s="20" t="n">
        <v>1.90222</v>
      </c>
      <c r="M111" s="20" t="n">
        <v>1.92319</v>
      </c>
      <c r="N111" s="20" t="n">
        <v>1.754862</v>
      </c>
      <c r="O111" s="20" t="n">
        <v>1.77239</v>
      </c>
      <c r="P111" s="20" t="n">
        <v>1.81528</v>
      </c>
      <c r="Q111" s="20" t="n">
        <v>1.801556</v>
      </c>
      <c r="R111" s="20" t="n">
        <v>1.767124</v>
      </c>
      <c r="S111" s="20" t="n">
        <v>1.764936</v>
      </c>
      <c r="T111" s="23">
        <f>IFERROR(AVERAGE(D111:S111),"")</f>
        <v/>
      </c>
    </row>
    <row r="112">
      <c r="A112" s="22" t="n">
        <v>44172</v>
      </c>
      <c r="B112" s="22" t="n">
        <v>44176</v>
      </c>
      <c r="C112">
        <f>TEXT(A112,"yyyy-mm")</f>
        <v/>
      </c>
      <c r="D112" s="20" t="n">
        <v>1.681452</v>
      </c>
      <c r="E112" s="20" t="n">
        <v>1.69525</v>
      </c>
      <c r="F112" s="20" t="n">
        <v>1.681452</v>
      </c>
      <c r="G112" s="20" t="n">
        <v>1.683856</v>
      </c>
      <c r="H112" s="20" t="n">
        <v>1.722182</v>
      </c>
      <c r="I112" s="20" t="n">
        <v>1.709234</v>
      </c>
      <c r="J112" s="20" t="n">
        <v>1.706972</v>
      </c>
      <c r="K112" s="20" t="n">
        <v>1.833808</v>
      </c>
      <c r="L112" s="20" t="n">
        <v>1.900072</v>
      </c>
      <c r="M112" s="20" t="n">
        <v>1.920554</v>
      </c>
      <c r="N112" s="20" t="n">
        <v>1.756152</v>
      </c>
      <c r="O112" s="20" t="n">
        <v>1.77327</v>
      </c>
      <c r="P112" s="20" t="n">
        <v>1.815164</v>
      </c>
      <c r="Q112" s="20" t="n">
        <v>1.80176</v>
      </c>
      <c r="R112" s="20" t="n">
        <v>1.767936</v>
      </c>
      <c r="S112" s="20" t="n">
        <v>1.765464</v>
      </c>
      <c r="T112" s="23">
        <f>IFERROR(AVERAGE(D112:S112),"")</f>
        <v/>
      </c>
    </row>
    <row r="113">
      <c r="A113" s="22" t="n">
        <v>44179</v>
      </c>
      <c r="B113" s="22" t="n">
        <v>44183</v>
      </c>
      <c r="C113">
        <f>TEXT(A113,"yyyy-mm")</f>
        <v/>
      </c>
      <c r="D113" s="20" t="n">
        <v>1.796294</v>
      </c>
      <c r="E113" s="20" t="n">
        <v>1.810138</v>
      </c>
      <c r="F113" s="20" t="n">
        <v>1.796294</v>
      </c>
      <c r="G113" s="20" t="n">
        <v>1.798828</v>
      </c>
      <c r="H113" s="20" t="n">
        <v>1.839594</v>
      </c>
      <c r="I113" s="20" t="n">
        <v>1.826514</v>
      </c>
      <c r="J113" s="20" t="n">
        <v>1.824642</v>
      </c>
      <c r="K113" s="20" t="n">
        <v>1.948622</v>
      </c>
      <c r="L113" s="20" t="n">
        <v>2.01745</v>
      </c>
      <c r="M113" s="20" t="n">
        <v>2.037932</v>
      </c>
      <c r="N113" s="20" t="n">
        <v>1.873558</v>
      </c>
      <c r="O113" s="20" t="n">
        <v>1.890678</v>
      </c>
      <c r="P113" s="20" t="n">
        <v>1.932556</v>
      </c>
      <c r="Q113" s="20" t="n">
        <v>1.919154</v>
      </c>
      <c r="R113" s="20" t="n">
        <v>1.885204</v>
      </c>
      <c r="S113" s="20" t="n">
        <v>1.883124</v>
      </c>
      <c r="T113" s="23">
        <f>IFERROR(AVERAGE(D113:S113),"")</f>
        <v/>
      </c>
    </row>
    <row r="114">
      <c r="A114" s="22" t="n">
        <v>44186</v>
      </c>
      <c r="B114" s="22" t="n">
        <v>44189</v>
      </c>
      <c r="C114">
        <f>TEXT(A114,"yyyy-mm")</f>
        <v/>
      </c>
      <c r="D114" s="20" t="n">
        <v>1.86987</v>
      </c>
      <c r="E114" s="20" t="n">
        <v>1.883833</v>
      </c>
      <c r="F114" s="20" t="n">
        <v>1.86987</v>
      </c>
      <c r="G114" s="20" t="n">
        <v>1.872755</v>
      </c>
      <c r="H114" s="20" t="n">
        <v>1.92164</v>
      </c>
      <c r="I114" s="20" t="n">
        <v>1.908233</v>
      </c>
      <c r="J114" s="20" t="n">
        <v>1.907378</v>
      </c>
      <c r="K114" s="20" t="n">
        <v>2.024583</v>
      </c>
      <c r="L114" s="20" t="n">
        <v>2.102283</v>
      </c>
      <c r="M114" s="20" t="n">
        <v>2.12308</v>
      </c>
      <c r="N114" s="20" t="n">
        <v>1.956133</v>
      </c>
      <c r="O114" s="20" t="n">
        <v>1.973523</v>
      </c>
      <c r="P114" s="20" t="n">
        <v>2.016055</v>
      </c>
      <c r="Q114" s="20" t="n">
        <v>2.002445</v>
      </c>
      <c r="R114" s="20" t="n">
        <v>1.96784</v>
      </c>
      <c r="S114" s="20" t="n">
        <v>1.966778</v>
      </c>
      <c r="T114" s="23">
        <f>IFERROR(AVERAGE(D114:S114),"")</f>
        <v/>
      </c>
    </row>
    <row r="115">
      <c r="A115" s="22" t="n">
        <v>44193</v>
      </c>
      <c r="B115" s="22" t="n">
        <v>44196</v>
      </c>
      <c r="C115">
        <f>TEXT(A115,"yyyy-mm")</f>
        <v/>
      </c>
      <c r="D115" s="20" t="n">
        <v>1.915075</v>
      </c>
      <c r="E115" s="20" t="n">
        <v>1.929003</v>
      </c>
      <c r="F115" s="20" t="n">
        <v>1.915075</v>
      </c>
      <c r="G115" s="20" t="n">
        <v>1.91786</v>
      </c>
      <c r="H115" s="20" t="n">
        <v>1.965718</v>
      </c>
      <c r="I115" s="20" t="n">
        <v>1.952425</v>
      </c>
      <c r="J115" s="20" t="n">
        <v>1.951268</v>
      </c>
      <c r="K115" s="20" t="n">
        <v>2.07052</v>
      </c>
      <c r="L115" s="20" t="n">
        <v>2.14722</v>
      </c>
      <c r="M115" s="20" t="n">
        <v>2.168115</v>
      </c>
      <c r="N115" s="20" t="n">
        <v>2.000375</v>
      </c>
      <c r="O115" s="20" t="n">
        <v>2.017848</v>
      </c>
      <c r="P115" s="20" t="n">
        <v>2.060585</v>
      </c>
      <c r="Q115" s="20" t="n">
        <v>2.04691</v>
      </c>
      <c r="R115" s="20" t="n">
        <v>2.01232</v>
      </c>
      <c r="S115" s="20" t="n">
        <v>2.010948</v>
      </c>
      <c r="T115" s="23">
        <f>IFERROR(AVERAGE(D115:S115),"")</f>
        <v/>
      </c>
    </row>
    <row r="116">
      <c r="A116" s="22" t="n">
        <v>44200</v>
      </c>
      <c r="B116" s="22" t="n">
        <v>44204</v>
      </c>
      <c r="C116">
        <f>TEXT(A116,"yyyy-mm")</f>
        <v/>
      </c>
      <c r="D116" s="20" t="n">
        <v>2.04043</v>
      </c>
      <c r="E116" s="20" t="n">
        <v>2.054354</v>
      </c>
      <c r="F116" s="20" t="n">
        <v>2.04043</v>
      </c>
      <c r="G116" s="20" t="n">
        <v>2.0432</v>
      </c>
      <c r="H116" s="20" t="n">
        <v>2.088434</v>
      </c>
      <c r="I116" s="20" t="n">
        <v>2.075246</v>
      </c>
      <c r="J116" s="20" t="n">
        <v>2.07351</v>
      </c>
      <c r="K116" s="20" t="n">
        <v>2.199498</v>
      </c>
      <c r="L116" s="20" t="n">
        <v>2.274162</v>
      </c>
      <c r="M116" s="20" t="n">
        <v>2.295546</v>
      </c>
      <c r="N116" s="20" t="n">
        <v>2.123898</v>
      </c>
      <c r="O116" s="20" t="n">
        <v>2.141776</v>
      </c>
      <c r="P116" s="20" t="n">
        <v>2.185508</v>
      </c>
      <c r="Q116" s="20" t="n">
        <v>2.171516</v>
      </c>
      <c r="R116" s="20" t="n">
        <v>2.136532</v>
      </c>
      <c r="S116" s="20" t="n">
        <v>2.134578</v>
      </c>
      <c r="T116" s="23">
        <f>IFERROR(AVERAGE(D116:S116),"")</f>
        <v/>
      </c>
    </row>
    <row r="117">
      <c r="A117" s="22" t="n">
        <v>44207</v>
      </c>
      <c r="B117" s="22" t="n">
        <v>44211</v>
      </c>
      <c r="C117">
        <f>TEXT(A117,"yyyy-mm")</f>
        <v/>
      </c>
      <c r="D117" s="20" t="n">
        <v>2.172256</v>
      </c>
      <c r="E117" s="20" t="n">
        <v>2.186218</v>
      </c>
      <c r="F117" s="20" t="n">
        <v>2.172256</v>
      </c>
      <c r="G117" s="20" t="n">
        <v>2.175146</v>
      </c>
      <c r="H117" s="20" t="n">
        <v>2.222048</v>
      </c>
      <c r="I117" s="20" t="n">
        <v>2.208736</v>
      </c>
      <c r="J117" s="20" t="n">
        <v>2.207334</v>
      </c>
      <c r="K117" s="20" t="n">
        <v>2.33131</v>
      </c>
      <c r="L117" s="20" t="n">
        <v>2.407764</v>
      </c>
      <c r="M117" s="20" t="n">
        <v>2.429146</v>
      </c>
      <c r="N117" s="20" t="n">
        <v>2.257516</v>
      </c>
      <c r="O117" s="20" t="n">
        <v>2.275388</v>
      </c>
      <c r="P117" s="20" t="n">
        <v>2.319118</v>
      </c>
      <c r="Q117" s="20" t="n">
        <v>2.305124</v>
      </c>
      <c r="R117" s="20" t="n">
        <v>2.270018</v>
      </c>
      <c r="S117" s="20" t="n">
        <v>2.2684</v>
      </c>
      <c r="T117" s="23">
        <f>IFERROR(AVERAGE(D117:S117),"")</f>
        <v/>
      </c>
    </row>
    <row r="118">
      <c r="A118" s="22" t="n">
        <v>44214</v>
      </c>
      <c r="B118" s="22" t="n">
        <v>44218</v>
      </c>
      <c r="C118">
        <f>TEXT(A118,"yyyy-mm")</f>
        <v/>
      </c>
      <c r="D118" s="20" t="n">
        <v>2.20143</v>
      </c>
      <c r="E118" s="20" t="n">
        <v>2.21538</v>
      </c>
      <c r="F118" s="20" t="n">
        <v>2.20143</v>
      </c>
      <c r="G118" s="20" t="n">
        <v>2.204288</v>
      </c>
      <c r="H118" s="20" t="n">
        <v>2.252448</v>
      </c>
      <c r="I118" s="20" t="n">
        <v>2.239205</v>
      </c>
      <c r="J118" s="20" t="n">
        <v>2.23764</v>
      </c>
      <c r="K118" s="20" t="n">
        <v>2.36202</v>
      </c>
      <c r="L118" s="20" t="n">
        <v>2.439953</v>
      </c>
      <c r="M118" s="20" t="n">
        <v>2.461543</v>
      </c>
      <c r="N118" s="20" t="n">
        <v>2.28825</v>
      </c>
      <c r="O118" s="20" t="n">
        <v>2.3063</v>
      </c>
      <c r="P118" s="20" t="n">
        <v>2.350453</v>
      </c>
      <c r="Q118" s="20" t="n">
        <v>2.336325</v>
      </c>
      <c r="R118" s="20" t="n">
        <v>2.30108</v>
      </c>
      <c r="S118" s="20" t="n">
        <v>2.299295</v>
      </c>
      <c r="T118" s="23">
        <f>IFERROR(AVERAGE(D118:S118),"")</f>
        <v/>
      </c>
    </row>
    <row r="119">
      <c r="A119" s="22" t="n">
        <v>44221</v>
      </c>
      <c r="B119" s="22" t="n">
        <v>44225</v>
      </c>
      <c r="C119">
        <f>TEXT(A119,"yyyy-mm")</f>
        <v/>
      </c>
      <c r="D119" s="20" t="n">
        <v>2.254624</v>
      </c>
      <c r="E119" s="20" t="n">
        <v>2.268544</v>
      </c>
      <c r="F119" s="20" t="n">
        <v>2.254624</v>
      </c>
      <c r="G119" s="20" t="n">
        <v>2.257384</v>
      </c>
      <c r="H119" s="20" t="n">
        <v>2.30366</v>
      </c>
      <c r="I119" s="20" t="n">
        <v>2.290516</v>
      </c>
      <c r="J119" s="20" t="n">
        <v>2.288688</v>
      </c>
      <c r="K119" s="20" t="n">
        <v>2.416644</v>
      </c>
      <c r="L119" s="20" t="n">
        <v>2.492836</v>
      </c>
      <c r="M119" s="20" t="n">
        <v>2.514616</v>
      </c>
      <c r="N119" s="20" t="n">
        <v>2.339784</v>
      </c>
      <c r="O119" s="20" t="n">
        <v>2.357992</v>
      </c>
      <c r="P119" s="20" t="n">
        <v>2.402538</v>
      </c>
      <c r="Q119" s="20" t="n">
        <v>2.388282</v>
      </c>
      <c r="R119" s="20" t="n">
        <v>2.352938</v>
      </c>
      <c r="S119" s="20" t="n">
        <v>2.350892</v>
      </c>
      <c r="T119" s="23">
        <f>IFERROR(AVERAGE(D119:S119),"")</f>
        <v/>
      </c>
    </row>
    <row r="120">
      <c r="A120" s="22" t="n">
        <v>44228</v>
      </c>
      <c r="B120" s="22" t="n">
        <v>44232</v>
      </c>
      <c r="C120">
        <f>TEXT(A120,"yyyy-mm")</f>
        <v/>
      </c>
      <c r="D120" s="20" t="n">
        <v>2.305622</v>
      </c>
      <c r="E120" s="20" t="n">
        <v>2.319534</v>
      </c>
      <c r="F120" s="20" t="n">
        <v>2.305622</v>
      </c>
      <c r="G120" s="20" t="n">
        <v>2.308356</v>
      </c>
      <c r="H120" s="20" t="n">
        <v>2.355186</v>
      </c>
      <c r="I120" s="20" t="n">
        <v>2.342088</v>
      </c>
      <c r="J120" s="20" t="n">
        <v>2.34015</v>
      </c>
      <c r="K120" s="20" t="n">
        <v>2.467076</v>
      </c>
      <c r="L120" s="20" t="n">
        <v>2.543702</v>
      </c>
      <c r="M120" s="20" t="n">
        <v>2.565408</v>
      </c>
      <c r="N120" s="20" t="n">
        <v>2.391186</v>
      </c>
      <c r="O120" s="20" t="n">
        <v>2.409332</v>
      </c>
      <c r="P120" s="20" t="n">
        <v>2.45372</v>
      </c>
      <c r="Q120" s="20" t="n">
        <v>2.439514</v>
      </c>
      <c r="R120" s="20" t="n">
        <v>2.404294</v>
      </c>
      <c r="S120" s="20" t="n">
        <v>2.402138</v>
      </c>
      <c r="T120" s="23">
        <f>IFERROR(AVERAGE(D120:S120),"")</f>
        <v/>
      </c>
    </row>
    <row r="121">
      <c r="A121" s="22" t="n">
        <v>44235</v>
      </c>
      <c r="B121" s="22" t="n">
        <v>44239</v>
      </c>
      <c r="C121">
        <f>TEXT(A121,"yyyy-mm")</f>
        <v/>
      </c>
      <c r="D121" s="20" t="n">
        <v>2.329042</v>
      </c>
      <c r="E121" s="20" t="n">
        <v>2.32995</v>
      </c>
      <c r="F121" s="20" t="n">
        <v>2.329042</v>
      </c>
      <c r="G121" s="20" t="n">
        <v>2.331752</v>
      </c>
      <c r="H121" s="20" t="n">
        <v>2.371054</v>
      </c>
      <c r="I121" s="20" t="n">
        <v>2.365186</v>
      </c>
      <c r="J121" s="20" t="n">
        <v>2.363174</v>
      </c>
      <c r="K121" s="20" t="n">
        <v>2.489836</v>
      </c>
      <c r="L121" s="20" t="n">
        <v>2.558796</v>
      </c>
      <c r="M121" s="20" t="n">
        <v>2.58041</v>
      </c>
      <c r="N121" s="20" t="n">
        <v>2.406906</v>
      </c>
      <c r="O121" s="20" t="n">
        <v>2.424978</v>
      </c>
      <c r="P121" s="20" t="n">
        <v>2.469184</v>
      </c>
      <c r="Q121" s="20" t="n">
        <v>2.455038</v>
      </c>
      <c r="R121" s="20" t="n">
        <v>2.427138</v>
      </c>
      <c r="S121" s="20" t="n">
        <v>2.424904</v>
      </c>
      <c r="T121" s="23">
        <f>IFERROR(AVERAGE(D121:S121),"")</f>
        <v/>
      </c>
    </row>
    <row r="122">
      <c r="A122" s="22" t="n">
        <v>44242</v>
      </c>
      <c r="B122" s="22" t="n">
        <v>44246</v>
      </c>
      <c r="C122">
        <f>TEXT(A122,"yyyy-mm")</f>
        <v/>
      </c>
      <c r="D122" s="20" t="n">
        <v>2.469293</v>
      </c>
      <c r="E122" s="20" t="n">
        <v>2.470173</v>
      </c>
      <c r="F122" s="20" t="n">
        <v>2.469293</v>
      </c>
      <c r="G122" s="20" t="n">
        <v>2.47192</v>
      </c>
      <c r="H122" s="20" t="n">
        <v>2.504875</v>
      </c>
      <c r="I122" s="20" t="n">
        <v>2.503878</v>
      </c>
      <c r="J122" s="20" t="n">
        <v>2.501668</v>
      </c>
      <c r="K122" s="20" t="n">
        <v>2.630923</v>
      </c>
      <c r="L122" s="20" t="n">
        <v>2.693598</v>
      </c>
      <c r="M122" s="20" t="n">
        <v>2.715325</v>
      </c>
      <c r="N122" s="20" t="n">
        <v>2.540915</v>
      </c>
      <c r="O122" s="20" t="n">
        <v>2.559078</v>
      </c>
      <c r="P122" s="20" t="n">
        <v>2.603518</v>
      </c>
      <c r="Q122" s="20" t="n">
        <v>2.589298</v>
      </c>
      <c r="R122" s="20" t="n">
        <v>2.56615</v>
      </c>
      <c r="S122" s="20" t="n">
        <v>2.563723</v>
      </c>
      <c r="T122" s="23">
        <f>IFERROR(AVERAGE(D122:S122),"")</f>
        <v/>
      </c>
    </row>
    <row r="123">
      <c r="A123" s="22" t="n">
        <v>44249</v>
      </c>
      <c r="B123" s="22" t="n">
        <v>44253</v>
      </c>
      <c r="C123">
        <f>TEXT(A123,"yyyy-mm")</f>
        <v/>
      </c>
      <c r="D123" s="20" t="n">
        <v>2.607214</v>
      </c>
      <c r="E123" s="20" t="n">
        <v>2.608102</v>
      </c>
      <c r="F123" s="20" t="n">
        <v>2.607214</v>
      </c>
      <c r="G123" s="20" t="n">
        <v>2.609878</v>
      </c>
      <c r="H123" s="20" t="n">
        <v>2.642888</v>
      </c>
      <c r="I123" s="20" t="n">
        <v>2.641838</v>
      </c>
      <c r="J123" s="20" t="n">
        <v>2.63975</v>
      </c>
      <c r="K123" s="20" t="n">
        <v>2.771066</v>
      </c>
      <c r="L123" s="20" t="n">
        <v>2.834202</v>
      </c>
      <c r="M123" s="20" t="n">
        <v>2.85623</v>
      </c>
      <c r="N123" s="20" t="n">
        <v>2.67942</v>
      </c>
      <c r="O123" s="20" t="n">
        <v>2.697838</v>
      </c>
      <c r="P123" s="20" t="n">
        <v>2.742884</v>
      </c>
      <c r="Q123" s="20" t="n">
        <v>2.728468</v>
      </c>
      <c r="R123" s="20" t="n">
        <v>2.70497</v>
      </c>
      <c r="S123" s="20" t="n">
        <v>2.702662</v>
      </c>
      <c r="T123" s="23">
        <f>IFERROR(AVERAGE(D123:S123),"")</f>
        <v/>
      </c>
    </row>
    <row r="124">
      <c r="A124" s="22" t="n">
        <v>44256</v>
      </c>
      <c r="B124" s="22" t="n">
        <v>44260</v>
      </c>
      <c r="C124">
        <f>TEXT(A124,"yyyy-mm")</f>
        <v/>
      </c>
      <c r="D124" s="20" t="n">
        <v>2.733144</v>
      </c>
      <c r="E124" s="20" t="n">
        <v>2.734074</v>
      </c>
      <c r="F124" s="20" t="n">
        <v>2.733144</v>
      </c>
      <c r="G124" s="20" t="n">
        <v>2.735934</v>
      </c>
      <c r="H124" s="20" t="n">
        <v>2.76939</v>
      </c>
      <c r="I124" s="20" t="n">
        <v>2.768178</v>
      </c>
      <c r="J124" s="20" t="n">
        <v>2.766498</v>
      </c>
      <c r="K124" s="20" t="n">
        <v>2.902682</v>
      </c>
      <c r="L124" s="20" t="n">
        <v>2.967342</v>
      </c>
      <c r="M124" s="20" t="n">
        <v>2.990134</v>
      </c>
      <c r="N124" s="20" t="n">
        <v>2.80719</v>
      </c>
      <c r="O124" s="20" t="n">
        <v>2.826244</v>
      </c>
      <c r="P124" s="20" t="n">
        <v>2.872854</v>
      </c>
      <c r="Q124" s="20" t="n">
        <v>2.85794</v>
      </c>
      <c r="R124" s="20" t="n">
        <v>2.833504</v>
      </c>
      <c r="S124" s="20" t="n">
        <v>2.83159</v>
      </c>
      <c r="T124" s="23">
        <f>IFERROR(AVERAGE(D124:S124),"")</f>
        <v/>
      </c>
    </row>
    <row r="125">
      <c r="A125" s="22" t="n">
        <v>44263</v>
      </c>
      <c r="B125" s="22" t="n">
        <v>44267</v>
      </c>
      <c r="C125">
        <f>TEXT(A125,"yyyy-mm")</f>
        <v/>
      </c>
      <c r="D125" s="20" t="n">
        <v>2.89915</v>
      </c>
      <c r="E125" s="20" t="n">
        <v>2.900128</v>
      </c>
      <c r="F125" s="20" t="n">
        <v>2.89915</v>
      </c>
      <c r="G125" s="20" t="n">
        <v>2.90208</v>
      </c>
      <c r="H125" s="20" t="n">
        <v>2.927684</v>
      </c>
      <c r="I125" s="20" t="n">
        <v>2.913238</v>
      </c>
      <c r="J125" s="20" t="n">
        <v>2.934986</v>
      </c>
      <c r="K125" s="20" t="n">
        <v>3.06841</v>
      </c>
      <c r="L125" s="20" t="n">
        <v>3.125316</v>
      </c>
      <c r="M125" s="20" t="n">
        <v>3.148068</v>
      </c>
      <c r="N125" s="20" t="n">
        <v>2.965424</v>
      </c>
      <c r="O125" s="20" t="n">
        <v>2.984444</v>
      </c>
      <c r="P125" s="20" t="n">
        <v>3.03098</v>
      </c>
      <c r="Q125" s="20" t="n">
        <v>3.016092</v>
      </c>
      <c r="R125" s="20" t="n">
        <v>2.978454</v>
      </c>
      <c r="S125" s="20" t="n">
        <v>2.999968</v>
      </c>
      <c r="T125" s="23">
        <f>IFERROR(AVERAGE(D125:S125),"")</f>
        <v/>
      </c>
    </row>
    <row r="126">
      <c r="A126" s="22" t="n">
        <v>44270</v>
      </c>
      <c r="B126" s="22" t="n">
        <v>44274</v>
      </c>
      <c r="C126">
        <f>TEXT(A126,"yyyy-mm")</f>
        <v/>
      </c>
      <c r="D126" s="20" t="n">
        <v>2.86152</v>
      </c>
      <c r="E126" s="20" t="n">
        <v>2.86248</v>
      </c>
      <c r="F126" s="20" t="n">
        <v>2.86152</v>
      </c>
      <c r="G126" s="20" t="n">
        <v>2.8644</v>
      </c>
      <c r="H126" s="20" t="n">
        <v>2.890266</v>
      </c>
      <c r="I126" s="20" t="n">
        <v>2.87583</v>
      </c>
      <c r="J126" s="20" t="n">
        <v>2.89743</v>
      </c>
      <c r="K126" s="20" t="n">
        <v>3.02792</v>
      </c>
      <c r="L126" s="20" t="n">
        <v>3.084556</v>
      </c>
      <c r="M126" s="20" t="n">
        <v>3.106924</v>
      </c>
      <c r="N126" s="20" t="n">
        <v>2.927366</v>
      </c>
      <c r="O126" s="20" t="n">
        <v>2.94607</v>
      </c>
      <c r="P126" s="20" t="n">
        <v>2.99182</v>
      </c>
      <c r="Q126" s="20" t="n">
        <v>2.977178</v>
      </c>
      <c r="R126" s="20" t="n">
        <v>2.939942</v>
      </c>
      <c r="S126" s="20" t="n">
        <v>2.961316</v>
      </c>
      <c r="T126" s="23">
        <f>IFERROR(AVERAGE(D126:S126),"")</f>
        <v/>
      </c>
    </row>
    <row r="127">
      <c r="A127" s="22" t="n">
        <v>44277</v>
      </c>
      <c r="B127" s="22" t="n">
        <v>44281</v>
      </c>
      <c r="C127">
        <f>TEXT(A127,"yyyy-mm")</f>
        <v/>
      </c>
      <c r="D127" s="20" t="n">
        <v>2.689708</v>
      </c>
      <c r="E127" s="20" t="n">
        <v>2.690662</v>
      </c>
      <c r="F127" s="20" t="n">
        <v>2.689708</v>
      </c>
      <c r="G127" s="20" t="n">
        <v>2.69257</v>
      </c>
      <c r="H127" s="20" t="n">
        <v>2.717732</v>
      </c>
      <c r="I127" s="20" t="n">
        <v>2.70328</v>
      </c>
      <c r="J127" s="20" t="n">
        <v>2.724862</v>
      </c>
      <c r="K127" s="20" t="n">
        <v>2.856894</v>
      </c>
      <c r="L127" s="20" t="n">
        <v>2.912942</v>
      </c>
      <c r="M127" s="20" t="n">
        <v>2.935414</v>
      </c>
      <c r="N127" s="20" t="n">
        <v>2.75501</v>
      </c>
      <c r="O127" s="20" t="n">
        <v>2.773798</v>
      </c>
      <c r="P127" s="20" t="n">
        <v>2.819764</v>
      </c>
      <c r="Q127" s="20" t="n">
        <v>2.805056</v>
      </c>
      <c r="R127" s="20" t="n">
        <v>2.767696</v>
      </c>
      <c r="S127" s="20" t="n">
        <v>2.789048</v>
      </c>
      <c r="T127" s="23">
        <f>IFERROR(AVERAGE(D127:S127),"")</f>
        <v/>
      </c>
    </row>
    <row r="128">
      <c r="A128" s="22" t="n">
        <v>44284</v>
      </c>
      <c r="B128" s="22" t="n">
        <v>44287</v>
      </c>
      <c r="C128">
        <f>TEXT(A128,"yyyy-mm")</f>
        <v/>
      </c>
      <c r="D128" s="20" t="n">
        <v>2.803178</v>
      </c>
      <c r="E128" s="20" t="n">
        <v>2.80421</v>
      </c>
      <c r="F128" s="20" t="n">
        <v>2.803178</v>
      </c>
      <c r="G128" s="20" t="n">
        <v>2.80628</v>
      </c>
      <c r="H128" s="20" t="n">
        <v>2.835575</v>
      </c>
      <c r="I128" s="20" t="n">
        <v>2.821218</v>
      </c>
      <c r="J128" s="20" t="n">
        <v>2.843263</v>
      </c>
      <c r="K128" s="20" t="n">
        <v>2.973998</v>
      </c>
      <c r="L128" s="20" t="n">
        <v>3.035028</v>
      </c>
      <c r="M128" s="20" t="n">
        <v>3.057993</v>
      </c>
      <c r="N128" s="20" t="n">
        <v>2.87366</v>
      </c>
      <c r="O128" s="20" t="n">
        <v>2.892858</v>
      </c>
      <c r="P128" s="20" t="n">
        <v>2.939825</v>
      </c>
      <c r="Q128" s="20" t="n">
        <v>2.924798</v>
      </c>
      <c r="R128" s="20" t="n">
        <v>2.887035</v>
      </c>
      <c r="S128" s="20" t="n">
        <v>2.908845</v>
      </c>
      <c r="T128" s="23">
        <f>IFERROR(AVERAGE(D128:S128),"")</f>
        <v/>
      </c>
    </row>
    <row r="129">
      <c r="A129" s="22" t="n">
        <v>44291</v>
      </c>
      <c r="B129" s="22" t="n">
        <v>44295</v>
      </c>
      <c r="C129">
        <f>TEXT(A129,"yyyy-mm")</f>
        <v/>
      </c>
      <c r="D129" s="20" t="n">
        <v>2.710082</v>
      </c>
      <c r="E129" s="20" t="n">
        <v>2.711086</v>
      </c>
      <c r="F129" s="20" t="n">
        <v>2.710082</v>
      </c>
      <c r="G129" s="20" t="n">
        <v>2.7131</v>
      </c>
      <c r="H129" s="20" t="n">
        <v>2.74208</v>
      </c>
      <c r="I129" s="20" t="n">
        <v>2.727716</v>
      </c>
      <c r="J129" s="20" t="n">
        <v>2.749544</v>
      </c>
      <c r="K129" s="20" t="n">
        <v>2.878018</v>
      </c>
      <c r="L129" s="20" t="n">
        <v>2.938158</v>
      </c>
      <c r="M129" s="20" t="n">
        <v>2.960736</v>
      </c>
      <c r="N129" s="20" t="n">
        <v>2.77952</v>
      </c>
      <c r="O129" s="20" t="n">
        <v>2.798396</v>
      </c>
      <c r="P129" s="20" t="n">
        <v>2.844568</v>
      </c>
      <c r="Q129" s="20" t="n">
        <v>2.829792</v>
      </c>
      <c r="R129" s="20" t="n">
        <v>2.792422</v>
      </c>
      <c r="S129" s="20" t="n">
        <v>2.814016</v>
      </c>
      <c r="T129" s="23">
        <f>IFERROR(AVERAGE(D129:S129),"")</f>
        <v/>
      </c>
    </row>
    <row r="130">
      <c r="A130" s="22" t="n">
        <v>44298</v>
      </c>
      <c r="B130" s="22" t="n">
        <v>44302</v>
      </c>
      <c r="C130">
        <f>TEXT(A130,"yyyy-mm")</f>
        <v/>
      </c>
      <c r="D130" s="20" t="n">
        <v>2.626882</v>
      </c>
      <c r="E130" s="20" t="n">
        <v>2.62788</v>
      </c>
      <c r="F130" s="20" t="n">
        <v>2.626882</v>
      </c>
      <c r="G130" s="20" t="n">
        <v>2.62987</v>
      </c>
      <c r="H130" s="20" t="n">
        <v>2.656812</v>
      </c>
      <c r="I130" s="20" t="n">
        <v>2.642398</v>
      </c>
      <c r="J130" s="20" t="n">
        <v>2.664242</v>
      </c>
      <c r="K130" s="20" t="n">
        <v>2.795854</v>
      </c>
      <c r="L130" s="20" t="n">
        <v>2.854102</v>
      </c>
      <c r="M130" s="20" t="n">
        <v>2.876816</v>
      </c>
      <c r="N130" s="20" t="n">
        <v>2.694484</v>
      </c>
      <c r="O130" s="20" t="n">
        <v>2.713474</v>
      </c>
      <c r="P130" s="20" t="n">
        <v>2.75993</v>
      </c>
      <c r="Q130" s="20" t="n">
        <v>2.745064</v>
      </c>
      <c r="R130" s="20" t="n">
        <v>2.707498</v>
      </c>
      <c r="S130" s="20" t="n">
        <v>2.729116</v>
      </c>
      <c r="T130" s="23">
        <f>IFERROR(AVERAGE(D130:S130),"")</f>
        <v/>
      </c>
    </row>
    <row r="131">
      <c r="A131" s="22" t="n">
        <v>44305</v>
      </c>
      <c r="B131" s="22" t="n">
        <v>44309</v>
      </c>
      <c r="C131">
        <f>TEXT(A131,"yyyy-mm")</f>
        <v/>
      </c>
      <c r="D131" s="20" t="n">
        <v>2.5848</v>
      </c>
      <c r="E131" s="20" t="n">
        <v>2.5857</v>
      </c>
      <c r="F131" s="20" t="n">
        <v>2.5848</v>
      </c>
      <c r="G131" s="20" t="n">
        <v>2.5876</v>
      </c>
      <c r="H131" s="20" t="n">
        <v>2.6121</v>
      </c>
      <c r="I131" s="20" t="n">
        <v>2.5977</v>
      </c>
      <c r="J131" s="20" t="n">
        <v>2.6192</v>
      </c>
      <c r="K131" s="20" t="n">
        <v>2.7497</v>
      </c>
      <c r="L131" s="20" t="n">
        <v>2.8048</v>
      </c>
      <c r="M131" s="20" t="n">
        <v>2.8269</v>
      </c>
      <c r="N131" s="20" t="n">
        <v>2.6489</v>
      </c>
      <c r="O131" s="20" t="n">
        <v>2.6675</v>
      </c>
      <c r="P131" s="20" t="n">
        <v>2.7128</v>
      </c>
      <c r="Q131" s="20" t="n">
        <v>2.6983</v>
      </c>
      <c r="R131" s="20" t="n">
        <v>2.6612</v>
      </c>
      <c r="S131" s="20" t="n">
        <v>2.6825</v>
      </c>
      <c r="T131" s="23">
        <f>IFERROR(AVERAGE(D131:S131),"")</f>
        <v/>
      </c>
    </row>
    <row r="132">
      <c r="A132" s="22" t="n">
        <v>44312</v>
      </c>
      <c r="B132" s="22" t="n">
        <v>44316</v>
      </c>
      <c r="C132">
        <f>TEXT(A132,"yyyy-mm")</f>
        <v/>
      </c>
      <c r="D132" s="20" t="n">
        <v>2.56108</v>
      </c>
      <c r="E132" s="20" t="n">
        <v>2.561986</v>
      </c>
      <c r="F132" s="20" t="n">
        <v>2.56108</v>
      </c>
      <c r="G132" s="20" t="n">
        <v>2.563802</v>
      </c>
      <c r="H132" s="20" t="n">
        <v>2.588646</v>
      </c>
      <c r="I132" s="20" t="n">
        <v>2.574188</v>
      </c>
      <c r="J132" s="20" t="n">
        <v>2.595404</v>
      </c>
      <c r="K132" s="20" t="n">
        <v>2.72282</v>
      </c>
      <c r="L132" s="20" t="n">
        <v>2.777498</v>
      </c>
      <c r="M132" s="20" t="n">
        <v>2.79924</v>
      </c>
      <c r="N132" s="20" t="n">
        <v>2.624706</v>
      </c>
      <c r="O132" s="20" t="n">
        <v>2.642886</v>
      </c>
      <c r="P132" s="20" t="n">
        <v>2.687354</v>
      </c>
      <c r="Q132" s="20" t="n">
        <v>2.673126</v>
      </c>
      <c r="R132" s="20" t="n">
        <v>2.636504</v>
      </c>
      <c r="S132" s="20" t="n">
        <v>2.657506</v>
      </c>
      <c r="T132" s="23">
        <f>IFERROR(AVERAGE(D132:S132),"")</f>
        <v/>
      </c>
    </row>
    <row r="133">
      <c r="A133" s="22" t="n">
        <v>44319</v>
      </c>
      <c r="B133" s="22" t="n">
        <v>44323</v>
      </c>
      <c r="C133">
        <f>TEXT(A133,"yyyy-mm")</f>
        <v/>
      </c>
      <c r="D133" s="20" t="n">
        <v>2.637606</v>
      </c>
      <c r="E133" s="20" t="n">
        <v>2.638582</v>
      </c>
      <c r="F133" s="20" t="n">
        <v>2.637606</v>
      </c>
      <c r="G133" s="20" t="n">
        <v>2.640532</v>
      </c>
      <c r="H133" s="20" t="n">
        <v>2.667216</v>
      </c>
      <c r="I133" s="20" t="n">
        <v>2.652796</v>
      </c>
      <c r="J133" s="20" t="n">
        <v>2.674488</v>
      </c>
      <c r="K133" s="20" t="n">
        <v>2.79724</v>
      </c>
      <c r="L133" s="20" t="n">
        <v>2.853604</v>
      </c>
      <c r="M133" s="20" t="n">
        <v>2.875066</v>
      </c>
      <c r="N133" s="20" t="n">
        <v>2.702806</v>
      </c>
      <c r="O133" s="20" t="n">
        <v>2.720748</v>
      </c>
      <c r="P133" s="20" t="n">
        <v>2.764636</v>
      </c>
      <c r="Q133" s="20" t="n">
        <v>2.750592</v>
      </c>
      <c r="R133" s="20" t="n">
        <v>2.7143</v>
      </c>
      <c r="S133" s="20" t="n">
        <v>2.735778</v>
      </c>
      <c r="T133" s="23">
        <f>IFERROR(AVERAGE(D133:S133),"")</f>
        <v/>
      </c>
    </row>
    <row r="134">
      <c r="A134" s="22" t="n">
        <v>44326</v>
      </c>
      <c r="B134" s="22" t="n">
        <v>44330</v>
      </c>
      <c r="C134">
        <f>TEXT(A134,"yyyy-mm")</f>
        <v/>
      </c>
      <c r="D134" s="20" t="n">
        <v>2.61438</v>
      </c>
      <c r="E134" s="20" t="n">
        <v>2.615662</v>
      </c>
      <c r="F134" s="20" t="n">
        <v>2.61438</v>
      </c>
      <c r="G134" s="20" t="n">
        <v>2.61823</v>
      </c>
      <c r="H134" s="20" t="n">
        <v>2.656952</v>
      </c>
      <c r="I134" s="20" t="n">
        <v>2.642812</v>
      </c>
      <c r="J134" s="20" t="n">
        <v>2.66643</v>
      </c>
      <c r="K134" s="20" t="n">
        <v>2.771718</v>
      </c>
      <c r="L134" s="20" t="n">
        <v>2.84066</v>
      </c>
      <c r="M134" s="20" t="n">
        <v>2.86181</v>
      </c>
      <c r="N134" s="20" t="n">
        <v>2.692032</v>
      </c>
      <c r="O134" s="20" t="n">
        <v>2.709716</v>
      </c>
      <c r="P134" s="20" t="n">
        <v>2.75297</v>
      </c>
      <c r="Q134" s="20" t="n">
        <v>2.73913</v>
      </c>
      <c r="R134" s="20" t="n">
        <v>2.70343</v>
      </c>
      <c r="S134" s="20" t="n">
        <v>2.726834</v>
      </c>
      <c r="T134" s="23">
        <f>IFERROR(AVERAGE(D134:S134),"")</f>
        <v/>
      </c>
    </row>
    <row r="135">
      <c r="A135" s="22" t="n">
        <v>44333</v>
      </c>
      <c r="B135" s="22" t="n">
        <v>44337</v>
      </c>
      <c r="C135">
        <f>TEXT(A135,"yyyy-mm")</f>
        <v/>
      </c>
      <c r="D135" s="20" t="n">
        <v>2.513714</v>
      </c>
      <c r="E135" s="20" t="n">
        <v>2.51466</v>
      </c>
      <c r="F135" s="20" t="n">
        <v>2.513714</v>
      </c>
      <c r="G135" s="20" t="n">
        <v>2.516554</v>
      </c>
      <c r="H135" s="20" t="n">
        <v>2.542894</v>
      </c>
      <c r="I135" s="20" t="n">
        <v>2.528468</v>
      </c>
      <c r="J135" s="20" t="n">
        <v>2.549936</v>
      </c>
      <c r="K135" s="20" t="n">
        <v>2.671722</v>
      </c>
      <c r="L135" s="20" t="n">
        <v>2.72738</v>
      </c>
      <c r="M135" s="20" t="n">
        <v>2.74862</v>
      </c>
      <c r="N135" s="20" t="n">
        <v>2.578122</v>
      </c>
      <c r="O135" s="20" t="n">
        <v>2.595878</v>
      </c>
      <c r="P135" s="20" t="n">
        <v>2.639322</v>
      </c>
      <c r="Q135" s="20" t="n">
        <v>2.62542</v>
      </c>
      <c r="R135" s="20" t="n">
        <v>2.589348</v>
      </c>
      <c r="S135" s="20" t="n">
        <v>2.610598</v>
      </c>
      <c r="T135" s="23">
        <f>IFERROR(AVERAGE(D135:S135),"")</f>
        <v/>
      </c>
    </row>
    <row r="136">
      <c r="A136" s="22" t="n">
        <v>44340</v>
      </c>
      <c r="B136" s="22" t="n">
        <v>44344</v>
      </c>
      <c r="C136">
        <f>TEXT(A136,"yyyy-mm")</f>
        <v/>
      </c>
      <c r="D136" s="20" t="n">
        <v>2.486104</v>
      </c>
      <c r="E136" s="20" t="n">
        <v>2.486994</v>
      </c>
      <c r="F136" s="20" t="n">
        <v>2.486104</v>
      </c>
      <c r="G136" s="20" t="n">
        <v>2.488776</v>
      </c>
      <c r="H136" s="20" t="n">
        <v>2.512428</v>
      </c>
      <c r="I136" s="20" t="n">
        <v>2.497944</v>
      </c>
      <c r="J136" s="20" t="n">
        <v>2.519088</v>
      </c>
      <c r="K136" s="20" t="n">
        <v>2.644082</v>
      </c>
      <c r="L136" s="20" t="n">
        <v>2.696886</v>
      </c>
      <c r="M136" s="20" t="n">
        <v>2.71812</v>
      </c>
      <c r="N136" s="20" t="n">
        <v>2.547654</v>
      </c>
      <c r="O136" s="20" t="n">
        <v>2.565406</v>
      </c>
      <c r="P136" s="20" t="n">
        <v>2.608844</v>
      </c>
      <c r="Q136" s="20" t="n">
        <v>2.594944</v>
      </c>
      <c r="R136" s="20" t="n">
        <v>2.55881</v>
      </c>
      <c r="S136" s="20" t="n">
        <v>2.579738</v>
      </c>
      <c r="T136" s="23">
        <f>IFERROR(AVERAGE(D136:S136),"")</f>
        <v/>
      </c>
    </row>
    <row r="137">
      <c r="A137" s="22" t="n">
        <v>44347</v>
      </c>
      <c r="B137" s="22" t="n">
        <v>44351</v>
      </c>
      <c r="C137">
        <f>TEXT(A137,"yyyy-mm")</f>
        <v/>
      </c>
      <c r="D137" s="20" t="n">
        <v>2.466415</v>
      </c>
      <c r="E137" s="20" t="n">
        <v>2.467245</v>
      </c>
      <c r="F137" s="20" t="n">
        <v>2.466415</v>
      </c>
      <c r="G137" s="20" t="n">
        <v>2.468905</v>
      </c>
      <c r="H137" s="20" t="n">
        <v>2.490763</v>
      </c>
      <c r="I137" s="20" t="n">
        <v>2.476238</v>
      </c>
      <c r="J137" s="20" t="n">
        <v>2.49697</v>
      </c>
      <c r="K137" s="20" t="n">
        <v>2.618508</v>
      </c>
      <c r="L137" s="20" t="n">
        <v>2.668348</v>
      </c>
      <c r="M137" s="20" t="n">
        <v>2.68879</v>
      </c>
      <c r="N137" s="20" t="n">
        <v>2.524678</v>
      </c>
      <c r="O137" s="20" t="n">
        <v>2.541768</v>
      </c>
      <c r="P137" s="20" t="n">
        <v>2.583583</v>
      </c>
      <c r="Q137" s="20" t="n">
        <v>2.570203</v>
      </c>
      <c r="R137" s="20" t="n">
        <v>2.534835</v>
      </c>
      <c r="S137" s="20" t="n">
        <v>2.555363</v>
      </c>
      <c r="T137" s="23">
        <f>IFERROR(AVERAGE(D137:S137),"")</f>
        <v/>
      </c>
    </row>
    <row r="138">
      <c r="A138" s="22" t="n">
        <v>44354</v>
      </c>
      <c r="B138" s="22" t="n">
        <v>44358</v>
      </c>
      <c r="C138">
        <f>TEXT(A138,"yyyy-mm")</f>
        <v/>
      </c>
      <c r="D138" s="20" t="n">
        <v>2.506214</v>
      </c>
      <c r="E138" s="20" t="n">
        <v>2.507076</v>
      </c>
      <c r="F138" s="20" t="n">
        <v>2.506214</v>
      </c>
      <c r="G138" s="20" t="n">
        <v>2.508806</v>
      </c>
      <c r="H138" s="20" t="n">
        <v>2.533016</v>
      </c>
      <c r="I138" s="20" t="n">
        <v>2.518548</v>
      </c>
      <c r="J138" s="20" t="n">
        <v>2.539442</v>
      </c>
      <c r="K138" s="20" t="n">
        <v>2.657648</v>
      </c>
      <c r="L138" s="20" t="n">
        <v>2.709832</v>
      </c>
      <c r="M138" s="20" t="n">
        <v>2.730188</v>
      </c>
      <c r="N138" s="20" t="n">
        <v>2.56678</v>
      </c>
      <c r="O138" s="20" t="n">
        <v>2.5838</v>
      </c>
      <c r="P138" s="20" t="n">
        <v>2.625434</v>
      </c>
      <c r="Q138" s="20" t="n">
        <v>2.612114</v>
      </c>
      <c r="R138" s="20" t="n">
        <v>2.576896</v>
      </c>
      <c r="S138" s="20" t="n">
        <v>2.597586</v>
      </c>
      <c r="T138" s="23">
        <f>IFERROR(AVERAGE(D138:S138),"")</f>
        <v/>
      </c>
    </row>
    <row r="139">
      <c r="A139" s="22" t="n">
        <v>44361</v>
      </c>
      <c r="B139" s="22" t="n">
        <v>44365</v>
      </c>
      <c r="C139">
        <f>TEXT(A139,"yyyy-mm")</f>
        <v/>
      </c>
      <c r="D139" s="20" t="n">
        <v>2.52111</v>
      </c>
      <c r="E139" s="20" t="n">
        <v>2.521994</v>
      </c>
      <c r="F139" s="20" t="n">
        <v>2.52111</v>
      </c>
      <c r="G139" s="20" t="n">
        <v>2.523766</v>
      </c>
      <c r="H139" s="20" t="n">
        <v>2.550476</v>
      </c>
      <c r="I139" s="20" t="n">
        <v>2.536072</v>
      </c>
      <c r="J139" s="20" t="n">
        <v>2.557018</v>
      </c>
      <c r="K139" s="20" t="n">
        <v>2.672082</v>
      </c>
      <c r="L139" s="20" t="n">
        <v>2.726758</v>
      </c>
      <c r="M139" s="20" t="n">
        <v>2.747052</v>
      </c>
      <c r="N139" s="20" t="n">
        <v>2.58414</v>
      </c>
      <c r="O139" s="20" t="n">
        <v>2.601108</v>
      </c>
      <c r="P139" s="20" t="n">
        <v>2.642616</v>
      </c>
      <c r="Q139" s="20" t="n">
        <v>2.629336</v>
      </c>
      <c r="R139" s="20" t="n">
        <v>2.59424</v>
      </c>
      <c r="S139" s="20" t="n">
        <v>2.614984</v>
      </c>
      <c r="T139" s="23">
        <f>IFERROR(AVERAGE(D139:S139),"")</f>
        <v/>
      </c>
    </row>
    <row r="140">
      <c r="A140" s="22" t="n">
        <v>44368</v>
      </c>
      <c r="B140" s="22" t="n">
        <v>44372</v>
      </c>
      <c r="C140">
        <f>TEXT(A140,"yyyy-mm")</f>
        <v/>
      </c>
      <c r="D140" s="20" t="n">
        <v>2.587836</v>
      </c>
      <c r="E140" s="20" t="n">
        <v>2.58868</v>
      </c>
      <c r="F140" s="20" t="n">
        <v>2.587836</v>
      </c>
      <c r="G140" s="20" t="n">
        <v>2.590368</v>
      </c>
      <c r="H140" s="20" t="n">
        <v>2.61434</v>
      </c>
      <c r="I140" s="20" t="n">
        <v>2.599868</v>
      </c>
      <c r="J140" s="20" t="n">
        <v>2.620594</v>
      </c>
      <c r="K140" s="20" t="n">
        <v>2.736338</v>
      </c>
      <c r="L140" s="20" t="n">
        <v>2.787728</v>
      </c>
      <c r="M140" s="20" t="n">
        <v>2.807688</v>
      </c>
      <c r="N140" s="20" t="n">
        <v>2.647446</v>
      </c>
      <c r="O140" s="20" t="n">
        <v>2.664136</v>
      </c>
      <c r="P140" s="20" t="n">
        <v>2.704964</v>
      </c>
      <c r="Q140" s="20" t="n">
        <v>2.6919</v>
      </c>
      <c r="R140" s="20" t="n">
        <v>2.657082</v>
      </c>
      <c r="S140" s="20" t="n">
        <v>2.677608</v>
      </c>
      <c r="T140" s="23">
        <f>IFERROR(AVERAGE(D140:S140),"")</f>
        <v/>
      </c>
    </row>
    <row r="141">
      <c r="A141" s="22" t="n">
        <v>44375</v>
      </c>
      <c r="B141" s="22" t="n">
        <v>44379</v>
      </c>
      <c r="C141">
        <f>TEXT(A141,"yyyy-mm")</f>
        <v/>
      </c>
      <c r="D141" s="20" t="n">
        <v>2.626884</v>
      </c>
      <c r="E141" s="20" t="n">
        <v>2.627818</v>
      </c>
      <c r="F141" s="20" t="n">
        <v>2.626884</v>
      </c>
      <c r="G141" s="20" t="n">
        <v>2.629688</v>
      </c>
      <c r="H141" s="20" t="n">
        <v>2.657206</v>
      </c>
      <c r="I141" s="20" t="n">
        <v>2.642812</v>
      </c>
      <c r="J141" s="20" t="n">
        <v>2.66413</v>
      </c>
      <c r="K141" s="20" t="n">
        <v>2.775828</v>
      </c>
      <c r="L141" s="20" t="n">
        <v>2.831112</v>
      </c>
      <c r="M141" s="20" t="n">
        <v>2.851136</v>
      </c>
      <c r="N141" s="20" t="n">
        <v>2.690412</v>
      </c>
      <c r="O141" s="20" t="n">
        <v>2.707152</v>
      </c>
      <c r="P141" s="20" t="n">
        <v>2.748104</v>
      </c>
      <c r="Q141" s="20" t="n">
        <v>2.735002</v>
      </c>
      <c r="R141" s="20" t="n">
        <v>2.700198</v>
      </c>
      <c r="S141" s="20" t="n">
        <v>2.721316</v>
      </c>
      <c r="T141" s="23">
        <f>IFERROR(AVERAGE(D141:S141),"")</f>
        <v/>
      </c>
    </row>
    <row r="142">
      <c r="A142" s="22" t="n">
        <v>44382</v>
      </c>
      <c r="B142" s="22" t="n">
        <v>44386</v>
      </c>
      <c r="C142">
        <f>TEXT(A142,"yyyy-mm")</f>
        <v/>
      </c>
      <c r="D142" s="20" t="n">
        <v>2.813463</v>
      </c>
      <c r="E142" s="20" t="n">
        <v>2.81433</v>
      </c>
      <c r="F142" s="20" t="n">
        <v>2.813463</v>
      </c>
      <c r="G142" s="20" t="n">
        <v>2.816073</v>
      </c>
      <c r="H142" s="20" t="n">
        <v>2.841663</v>
      </c>
      <c r="I142" s="20" t="n">
        <v>2.827225</v>
      </c>
      <c r="J142" s="20" t="n">
        <v>2.848113</v>
      </c>
      <c r="K142" s="20" t="n">
        <v>2.969668</v>
      </c>
      <c r="L142" s="20" t="n">
        <v>3.024045</v>
      </c>
      <c r="M142" s="20" t="n">
        <v>3.045045</v>
      </c>
      <c r="N142" s="20" t="n">
        <v>2.876488</v>
      </c>
      <c r="O142" s="20" t="n">
        <v>2.89404</v>
      </c>
      <c r="P142" s="20" t="n">
        <v>2.936988</v>
      </c>
      <c r="Q142" s="20" t="n">
        <v>2.92325</v>
      </c>
      <c r="R142" s="20" t="n">
        <v>2.887408</v>
      </c>
      <c r="S142" s="20" t="n">
        <v>2.908083</v>
      </c>
      <c r="T142" s="23">
        <f>IFERROR(AVERAGE(D142:S142),"")</f>
        <v/>
      </c>
    </row>
    <row r="143">
      <c r="A143" s="22" t="n">
        <v>44389</v>
      </c>
      <c r="B143" s="22" t="n">
        <v>44393</v>
      </c>
      <c r="C143">
        <f>TEXT(A143,"yyyy-mm")</f>
        <v/>
      </c>
      <c r="D143" s="20" t="n">
        <v>2.844496</v>
      </c>
      <c r="E143" s="20" t="n">
        <v>2.845374</v>
      </c>
      <c r="F143" s="20" t="n">
        <v>2.844496</v>
      </c>
      <c r="G143" s="20" t="n">
        <v>2.84712</v>
      </c>
      <c r="H143" s="20" t="n">
        <v>2.871738</v>
      </c>
      <c r="I143" s="20" t="n">
        <v>2.857276</v>
      </c>
      <c r="J143" s="20" t="n">
        <v>2.87824</v>
      </c>
      <c r="K143" s="20" t="n">
        <v>2.997848</v>
      </c>
      <c r="L143" s="20" t="n">
        <v>3.05079</v>
      </c>
      <c r="M143" s="20" t="n">
        <v>3.071402</v>
      </c>
      <c r="N143" s="20" t="n">
        <v>2.905928</v>
      </c>
      <c r="O143" s="20" t="n">
        <v>2.923162</v>
      </c>
      <c r="P143" s="20" t="n">
        <v>2.965322</v>
      </c>
      <c r="Q143" s="20" t="n">
        <v>2.951832</v>
      </c>
      <c r="R143" s="20" t="n">
        <v>2.91636</v>
      </c>
      <c r="S143" s="20" t="n">
        <v>2.937114</v>
      </c>
      <c r="T143" s="23">
        <f>IFERROR(AVERAGE(D143:S143),"")</f>
        <v/>
      </c>
    </row>
    <row r="144">
      <c r="A144" s="22" t="n">
        <v>44396</v>
      </c>
      <c r="B144" s="22" t="n">
        <v>44400</v>
      </c>
      <c r="C144">
        <f>TEXT(A144,"yyyy-mm")</f>
        <v/>
      </c>
      <c r="D144" s="20" t="n">
        <v>2.698716</v>
      </c>
      <c r="E144" s="20" t="n">
        <v>2.699612</v>
      </c>
      <c r="F144" s="20" t="n">
        <v>2.698716</v>
      </c>
      <c r="G144" s="20" t="n">
        <v>2.701398</v>
      </c>
      <c r="H144" s="20" t="n">
        <v>2.726432</v>
      </c>
      <c r="I144" s="20" t="n">
        <v>2.71198</v>
      </c>
      <c r="J144" s="20" t="n">
        <v>2.73308</v>
      </c>
      <c r="K144" s="20" t="n">
        <v>2.854552</v>
      </c>
      <c r="L144" s="20" t="n">
        <v>2.908388</v>
      </c>
      <c r="M144" s="20" t="n">
        <v>2.929334</v>
      </c>
      <c r="N144" s="20" t="n">
        <v>2.761178</v>
      </c>
      <c r="O144" s="20" t="n">
        <v>2.778692</v>
      </c>
      <c r="P144" s="20" t="n">
        <v>2.821538</v>
      </c>
      <c r="Q144" s="20" t="n">
        <v>2.807828</v>
      </c>
      <c r="R144" s="20" t="n">
        <v>2.77202</v>
      </c>
      <c r="S144" s="20" t="n">
        <v>2.79291</v>
      </c>
      <c r="T144" s="23">
        <f>IFERROR(AVERAGE(D144:S144),"")</f>
        <v/>
      </c>
    </row>
    <row r="145">
      <c r="A145" s="22" t="n">
        <v>44403</v>
      </c>
      <c r="B145" s="22" t="n">
        <v>44407</v>
      </c>
      <c r="C145">
        <f>TEXT(A145,"yyyy-mm")</f>
        <v/>
      </c>
      <c r="D145" s="20" t="n">
        <v>2.86488</v>
      </c>
      <c r="E145" s="20" t="n">
        <v>2.865784</v>
      </c>
      <c r="F145" s="20" t="n">
        <v>2.86488</v>
      </c>
      <c r="G145" s="20" t="n">
        <v>2.86759</v>
      </c>
      <c r="H145" s="20" t="n">
        <v>2.893152</v>
      </c>
      <c r="I145" s="20" t="n">
        <v>2.878708</v>
      </c>
      <c r="J145" s="20" t="n">
        <v>2.899862</v>
      </c>
      <c r="K145" s="20" t="n">
        <v>3.018952</v>
      </c>
      <c r="L145" s="20" t="n">
        <v>3.073044</v>
      </c>
      <c r="M145" s="20" t="n">
        <v>3.093758</v>
      </c>
      <c r="N145" s="20" t="n">
        <v>2.9275</v>
      </c>
      <c r="O145" s="20" t="n">
        <v>2.94482</v>
      </c>
      <c r="P145" s="20" t="n">
        <v>2.987176</v>
      </c>
      <c r="Q145" s="20" t="n">
        <v>2.973622</v>
      </c>
      <c r="R145" s="20" t="n">
        <v>2.938074</v>
      </c>
      <c r="S145" s="20" t="n">
        <v>2.959014</v>
      </c>
      <c r="T145" s="23">
        <f>IFERROR(AVERAGE(D145:S145),"")</f>
        <v/>
      </c>
    </row>
    <row r="146">
      <c r="A146" s="22" t="n">
        <v>44410</v>
      </c>
      <c r="B146" s="22" t="n">
        <v>44414</v>
      </c>
      <c r="C146">
        <f>TEXT(A146,"yyyy-mm")</f>
        <v/>
      </c>
      <c r="D146" s="20" t="n">
        <v>2.877314</v>
      </c>
      <c r="E146" s="20" t="n">
        <v>2.878212</v>
      </c>
      <c r="F146" s="20" t="n">
        <v>2.877314</v>
      </c>
      <c r="G146" s="20" t="n">
        <v>2.880004</v>
      </c>
      <c r="H146" s="20" t="n">
        <v>2.905892</v>
      </c>
      <c r="I146" s="20" t="n">
        <v>2.891462</v>
      </c>
      <c r="J146" s="20" t="n">
        <v>2.912542</v>
      </c>
      <c r="K146" s="20" t="n">
        <v>3.032762</v>
      </c>
      <c r="L146" s="20" t="n">
        <v>3.08739</v>
      </c>
      <c r="M146" s="20" t="n">
        <v>3.108286</v>
      </c>
      <c r="N146" s="20" t="n">
        <v>2.94055</v>
      </c>
      <c r="O146" s="20" t="n">
        <v>2.958018</v>
      </c>
      <c r="P146" s="20" t="n">
        <v>3.000756</v>
      </c>
      <c r="Q146" s="20" t="n">
        <v>2.987082</v>
      </c>
      <c r="R146" s="20" t="n">
        <v>2.951354</v>
      </c>
      <c r="S146" s="20" t="n">
        <v>2.97222</v>
      </c>
      <c r="T146" s="23">
        <f>IFERROR(AVERAGE(D146:S146),"")</f>
        <v/>
      </c>
    </row>
    <row r="147">
      <c r="A147" s="22" t="n">
        <v>44417</v>
      </c>
      <c r="B147" s="22" t="n">
        <v>44421</v>
      </c>
      <c r="C147">
        <f>TEXT(A147,"yyyy-mm")</f>
        <v/>
      </c>
      <c r="D147" s="20" t="n">
        <v>2.822408</v>
      </c>
      <c r="E147" s="20" t="n">
        <v>2.823294</v>
      </c>
      <c r="F147" s="20" t="n">
        <v>2.822408</v>
      </c>
      <c r="G147" s="20" t="n">
        <v>2.825064</v>
      </c>
      <c r="H147" s="20" t="n">
        <v>2.850134</v>
      </c>
      <c r="I147" s="20" t="n">
        <v>2.835686</v>
      </c>
      <c r="J147" s="20" t="n">
        <v>2.856712</v>
      </c>
      <c r="K147" s="20" t="n">
        <v>2.9785</v>
      </c>
      <c r="L147" s="20" t="n">
        <v>3.032384</v>
      </c>
      <c r="M147" s="20" t="n">
        <v>3.053364</v>
      </c>
      <c r="N147" s="20" t="n">
        <v>2.884932</v>
      </c>
      <c r="O147" s="20" t="n">
        <v>2.902478</v>
      </c>
      <c r="P147" s="20" t="n">
        <v>2.94539</v>
      </c>
      <c r="Q147" s="20" t="n">
        <v>2.931658</v>
      </c>
      <c r="R147" s="20" t="n">
        <v>2.895824</v>
      </c>
      <c r="S147" s="20" t="n">
        <v>2.916638</v>
      </c>
      <c r="T147" s="23">
        <f>IFERROR(AVERAGE(D147:S147),"")</f>
        <v/>
      </c>
    </row>
    <row r="148">
      <c r="A148" s="22" t="n">
        <v>44424</v>
      </c>
      <c r="B148" s="22" t="n">
        <v>44428</v>
      </c>
      <c r="C148">
        <f>TEXT(A148,"yyyy-mm")</f>
        <v/>
      </c>
      <c r="D148" s="20" t="n">
        <v>2.694874</v>
      </c>
      <c r="E148" s="20" t="n">
        <v>2.695778</v>
      </c>
      <c r="F148" s="20" t="n">
        <v>2.694874</v>
      </c>
      <c r="G148" s="20" t="n">
        <v>2.697588</v>
      </c>
      <c r="H148" s="20" t="n">
        <v>2.721412</v>
      </c>
      <c r="I148" s="20" t="n">
        <v>2.706932</v>
      </c>
      <c r="J148" s="20" t="n">
        <v>2.728188</v>
      </c>
      <c r="K148" s="20" t="n">
        <v>2.854568</v>
      </c>
      <c r="L148" s="20" t="n">
        <v>2.907876</v>
      </c>
      <c r="M148" s="20" t="n">
        <v>2.929342</v>
      </c>
      <c r="N148" s="20" t="n">
        <v>2.757018</v>
      </c>
      <c r="O148" s="20" t="n">
        <v>2.774966</v>
      </c>
      <c r="P148" s="20" t="n">
        <v>2.818872</v>
      </c>
      <c r="Q148" s="20" t="n">
        <v>2.804824</v>
      </c>
      <c r="R148" s="20" t="n">
        <v>2.768458</v>
      </c>
      <c r="S148" s="20" t="n">
        <v>2.7895</v>
      </c>
      <c r="T148" s="23">
        <f>IFERROR(AVERAGE(D148:S148),"")</f>
        <v/>
      </c>
    </row>
    <row r="149">
      <c r="A149" s="22" t="n">
        <v>44431</v>
      </c>
      <c r="B149" s="22" t="n">
        <v>44435</v>
      </c>
      <c r="C149">
        <f>TEXT(A149,"yyyy-mm")</f>
        <v/>
      </c>
      <c r="D149" s="20" t="n">
        <v>2.632014</v>
      </c>
      <c r="E149" s="20" t="n">
        <v>2.632888</v>
      </c>
      <c r="F149" s="20" t="n">
        <v>2.632014</v>
      </c>
      <c r="G149" s="20" t="n">
        <v>2.634644</v>
      </c>
      <c r="H149" s="20" t="n">
        <v>2.657316</v>
      </c>
      <c r="I149" s="20" t="n">
        <v>2.642806</v>
      </c>
      <c r="J149" s="20" t="n">
        <v>2.663882</v>
      </c>
      <c r="K149" s="20" t="n">
        <v>2.789246</v>
      </c>
      <c r="L149" s="20" t="n">
        <v>2.840906</v>
      </c>
      <c r="M149" s="20" t="n">
        <v>2.862044</v>
      </c>
      <c r="N149" s="20" t="n">
        <v>2.692374</v>
      </c>
      <c r="O149" s="20" t="n">
        <v>2.710046</v>
      </c>
      <c r="P149" s="20" t="n">
        <v>2.753278</v>
      </c>
      <c r="Q149" s="20" t="n">
        <v>2.739442</v>
      </c>
      <c r="R149" s="20" t="n">
        <v>2.70339</v>
      </c>
      <c r="S149" s="20" t="n">
        <v>2.724248</v>
      </c>
      <c r="T149" s="23">
        <f>IFERROR(AVERAGE(D149:S149),"")</f>
        <v/>
      </c>
    </row>
    <row r="150">
      <c r="A150" s="22" t="n">
        <v>44438</v>
      </c>
      <c r="B150" s="22" t="n">
        <v>44442</v>
      </c>
      <c r="C150">
        <f>TEXT(A150,"yyyy-mm")</f>
        <v/>
      </c>
      <c r="D150" s="20" t="n">
        <v>2.733924</v>
      </c>
      <c r="E150" s="20" t="n">
        <v>2.734766</v>
      </c>
      <c r="F150" s="20" t="n">
        <v>2.733924</v>
      </c>
      <c r="G150" s="20" t="n">
        <v>2.736452</v>
      </c>
      <c r="H150" s="20" t="n">
        <v>2.757518</v>
      </c>
      <c r="I150" s="20" t="n">
        <v>2.742968</v>
      </c>
      <c r="J150" s="20" t="n">
        <v>2.763848</v>
      </c>
      <c r="K150" s="20" t="n">
        <v>2.888622</v>
      </c>
      <c r="L150" s="20" t="n">
        <v>2.938146</v>
      </c>
      <c r="M150" s="20" t="n">
        <v>2.958938</v>
      </c>
      <c r="N150" s="20" t="n">
        <v>2.792006</v>
      </c>
      <c r="O150" s="20" t="n">
        <v>2.809394</v>
      </c>
      <c r="P150" s="20" t="n">
        <v>2.851924</v>
      </c>
      <c r="Q150" s="20" t="n">
        <v>2.838318</v>
      </c>
      <c r="R150" s="20" t="n">
        <v>2.802572</v>
      </c>
      <c r="S150" s="20" t="n">
        <v>2.82324</v>
      </c>
      <c r="T150" s="23">
        <f>IFERROR(AVERAGE(D150:S150),"")</f>
        <v/>
      </c>
    </row>
    <row r="151">
      <c r="A151" s="22" t="n">
        <v>44445</v>
      </c>
      <c r="B151" s="22" t="n">
        <v>44449</v>
      </c>
      <c r="C151">
        <f>TEXT(A151,"yyyy-mm")</f>
        <v/>
      </c>
      <c r="D151" s="20" t="n">
        <v>2.756328</v>
      </c>
      <c r="E151" s="20" t="n">
        <v>2.75717</v>
      </c>
      <c r="F151" s="20" t="n">
        <v>2.756328</v>
      </c>
      <c r="G151" s="20" t="n">
        <v>2.758855</v>
      </c>
      <c r="H151" s="20" t="n">
        <v>2.779435</v>
      </c>
      <c r="I151" s="20" t="n">
        <v>2.764873</v>
      </c>
      <c r="J151" s="20" t="n">
        <v>2.785765</v>
      </c>
      <c r="K151" s="20" t="n">
        <v>2.913438</v>
      </c>
      <c r="L151" s="20" t="n">
        <v>2.962878</v>
      </c>
      <c r="M151" s="20" t="n">
        <v>2.983998</v>
      </c>
      <c r="N151" s="20" t="n">
        <v>2.814465</v>
      </c>
      <c r="O151" s="20" t="n">
        <v>2.83212</v>
      </c>
      <c r="P151" s="20" t="n">
        <v>2.875315</v>
      </c>
      <c r="Q151" s="20" t="n">
        <v>2.861493</v>
      </c>
      <c r="R151" s="20" t="n">
        <v>2.825405</v>
      </c>
      <c r="S151" s="20" t="n">
        <v>2.846085</v>
      </c>
      <c r="T151" s="23">
        <f>IFERROR(AVERAGE(D151:S151),"")</f>
        <v/>
      </c>
    </row>
    <row r="152">
      <c r="A152" s="22" t="n">
        <v>44452</v>
      </c>
      <c r="B152" s="22" t="n">
        <v>44456</v>
      </c>
      <c r="C152">
        <f>TEXT(A152,"yyyy-mm")</f>
        <v/>
      </c>
      <c r="D152" s="20" t="n">
        <v>2.829272</v>
      </c>
      <c r="E152" s="20" t="n">
        <v>2.83008</v>
      </c>
      <c r="F152" s="20" t="n">
        <v>2.829272</v>
      </c>
      <c r="G152" s="20" t="n">
        <v>2.83169</v>
      </c>
      <c r="H152" s="20" t="n">
        <v>2.851706</v>
      </c>
      <c r="I152" s="20" t="n">
        <v>2.837136</v>
      </c>
      <c r="J152" s="20" t="n">
        <v>2.857766</v>
      </c>
      <c r="K152" s="20" t="n">
        <v>2.986458</v>
      </c>
      <c r="L152" s="20" t="n">
        <v>3.035238</v>
      </c>
      <c r="M152" s="20" t="n">
        <v>3.056366</v>
      </c>
      <c r="N152" s="20" t="n">
        <v>2.886752</v>
      </c>
      <c r="O152" s="20" t="n">
        <v>2.904418</v>
      </c>
      <c r="P152" s="20" t="n">
        <v>2.947634</v>
      </c>
      <c r="Q152" s="20" t="n">
        <v>2.933806</v>
      </c>
      <c r="R152" s="20" t="n">
        <v>2.897698</v>
      </c>
      <c r="S152" s="20" t="n">
        <v>2.918114</v>
      </c>
      <c r="T152" s="23">
        <f>IFERROR(AVERAGE(D152:S152),"")</f>
        <v/>
      </c>
    </row>
    <row r="153">
      <c r="A153" s="22" t="n">
        <v>44459</v>
      </c>
      <c r="B153" s="22" t="n">
        <v>44463</v>
      </c>
      <c r="C153">
        <f>TEXT(A153,"yyyy-mm")</f>
        <v/>
      </c>
      <c r="D153" s="20" t="n">
        <v>2.808282</v>
      </c>
      <c r="E153" s="20" t="n">
        <v>2.809106</v>
      </c>
      <c r="F153" s="20" t="n">
        <v>2.808282</v>
      </c>
      <c r="G153" s="20" t="n">
        <v>2.810754</v>
      </c>
      <c r="H153" s="20" t="n">
        <v>2.830632</v>
      </c>
      <c r="I153" s="20" t="n">
        <v>2.816054</v>
      </c>
      <c r="J153" s="20" t="n">
        <v>2.836838</v>
      </c>
      <c r="K153" s="20" t="n">
        <v>2.96697</v>
      </c>
      <c r="L153" s="20" t="n">
        <v>3.015918</v>
      </c>
      <c r="M153" s="20" t="n">
        <v>3.03725</v>
      </c>
      <c r="N153" s="20" t="n">
        <v>2.866012</v>
      </c>
      <c r="O153" s="20" t="n">
        <v>2.883848</v>
      </c>
      <c r="P153" s="20" t="n">
        <v>2.927476</v>
      </c>
      <c r="Q153" s="20" t="n">
        <v>2.913516</v>
      </c>
      <c r="R153" s="20" t="n">
        <v>2.877196</v>
      </c>
      <c r="S153" s="20" t="n">
        <v>2.897764</v>
      </c>
      <c r="T153" s="23">
        <f>IFERROR(AVERAGE(D153:S153),"")</f>
        <v/>
      </c>
    </row>
    <row r="154">
      <c r="A154" s="22" t="n">
        <v>44466</v>
      </c>
      <c r="B154" s="22" t="n">
        <v>44470</v>
      </c>
      <c r="C154">
        <f>TEXT(A154,"yyyy-mm")</f>
        <v/>
      </c>
      <c r="D154" s="20" t="n">
        <v>2.99012</v>
      </c>
      <c r="E154" s="20" t="n">
        <v>2.991046</v>
      </c>
      <c r="F154" s="20" t="n">
        <v>2.99012</v>
      </c>
      <c r="G154" s="20" t="n">
        <v>2.992892</v>
      </c>
      <c r="H154" s="20" t="n">
        <v>3.018194</v>
      </c>
      <c r="I154" s="20" t="n">
        <v>3.003746</v>
      </c>
      <c r="J154" s="20" t="n">
        <v>3.02507</v>
      </c>
      <c r="K154" s="20" t="n">
        <v>3.151944</v>
      </c>
      <c r="L154" s="20" t="n">
        <v>3.207142</v>
      </c>
      <c r="M154" s="20" t="n">
        <v>3.228898</v>
      </c>
      <c r="N154" s="20" t="n">
        <v>3.054276</v>
      </c>
      <c r="O154" s="20" t="n">
        <v>3.072458</v>
      </c>
      <c r="P154" s="20" t="n">
        <v>3.116956</v>
      </c>
      <c r="Q154" s="20" t="n">
        <v>3.102718</v>
      </c>
      <c r="R154" s="20" t="n">
        <v>3.066096</v>
      </c>
      <c r="S154" s="20" t="n">
        <v>3.087202</v>
      </c>
      <c r="T154" s="23">
        <f>IFERROR(AVERAGE(D154:S154),"")</f>
        <v/>
      </c>
    </row>
    <row r="155">
      <c r="A155" s="22" t="n">
        <v>44473</v>
      </c>
      <c r="B155" s="22" t="n">
        <v>44477</v>
      </c>
      <c r="C155">
        <f>TEXT(A155,"yyyy-mm")</f>
        <v/>
      </c>
      <c r="D155" s="20" t="n">
        <v>3.169912</v>
      </c>
      <c r="E155" s="20" t="n">
        <v>3.17084</v>
      </c>
      <c r="F155" s="20" t="n">
        <v>3.169912</v>
      </c>
      <c r="G155" s="20" t="n">
        <v>3.172698</v>
      </c>
      <c r="H155" s="20" t="n">
        <v>3.198948</v>
      </c>
      <c r="I155" s="20" t="n">
        <v>3.184526</v>
      </c>
      <c r="J155" s="20" t="n">
        <v>3.205854</v>
      </c>
      <c r="K155" s="20" t="n">
        <v>3.333718</v>
      </c>
      <c r="L155" s="20" t="n">
        <v>3.390214</v>
      </c>
      <c r="M155" s="20" t="n">
        <v>3.412232</v>
      </c>
      <c r="N155" s="20" t="n">
        <v>3.23547</v>
      </c>
      <c r="O155" s="20" t="n">
        <v>3.25388</v>
      </c>
      <c r="P155" s="20" t="n">
        <v>3.298918</v>
      </c>
      <c r="Q155" s="20" t="n">
        <v>3.284504</v>
      </c>
      <c r="R155" s="20" t="n">
        <v>3.247636</v>
      </c>
      <c r="S155" s="20" t="n">
        <v>3.268746</v>
      </c>
      <c r="T155" s="23">
        <f>IFERROR(AVERAGE(D155:S155),"")</f>
        <v/>
      </c>
    </row>
    <row r="156">
      <c r="A156" s="22" t="n">
        <v>44480</v>
      </c>
      <c r="B156" s="22" t="n">
        <v>44484</v>
      </c>
      <c r="C156">
        <f>TEXT(A156,"yyyy-mm")</f>
        <v/>
      </c>
      <c r="D156" s="20" t="n">
        <v>3.294434</v>
      </c>
      <c r="E156" s="20" t="n">
        <v>3.295328</v>
      </c>
      <c r="F156" s="20" t="n">
        <v>3.294434</v>
      </c>
      <c r="G156" s="20" t="n">
        <v>3.29711</v>
      </c>
      <c r="H156" s="20" t="n">
        <v>3.321986</v>
      </c>
      <c r="I156" s="20" t="n">
        <v>3.307528</v>
      </c>
      <c r="J156" s="20" t="n">
        <v>3.32862</v>
      </c>
      <c r="K156" s="20" t="n">
        <v>3.45903</v>
      </c>
      <c r="L156" s="20" t="n">
        <v>3.51417</v>
      </c>
      <c r="M156" s="20" t="n">
        <v>3.536296</v>
      </c>
      <c r="N156" s="20" t="n">
        <v>3.358684</v>
      </c>
      <c r="O156" s="20" t="n">
        <v>3.377184</v>
      </c>
      <c r="P156" s="20" t="n">
        <v>3.422434</v>
      </c>
      <c r="Q156" s="20" t="n">
        <v>3.407956</v>
      </c>
      <c r="R156" s="20" t="n">
        <v>3.370946</v>
      </c>
      <c r="S156" s="20" t="n">
        <v>3.391812</v>
      </c>
      <c r="T156" s="23">
        <f>IFERROR(AVERAGE(D156:S156),"")</f>
        <v/>
      </c>
    </row>
    <row r="157">
      <c r="A157" s="22" t="n">
        <v>44487</v>
      </c>
      <c r="B157" s="22" t="n">
        <v>44491</v>
      </c>
      <c r="C157">
        <f>TEXT(A157,"yyyy-mm")</f>
        <v/>
      </c>
      <c r="D157" s="20" t="n">
        <v>3.488754</v>
      </c>
      <c r="E157" s="20" t="n">
        <v>3.489678</v>
      </c>
      <c r="F157" s="20" t="n">
        <v>3.488754</v>
      </c>
      <c r="G157" s="20" t="n">
        <v>3.49153</v>
      </c>
      <c r="H157" s="20" t="n">
        <v>3.517188</v>
      </c>
      <c r="I157" s="20" t="n">
        <v>3.502748</v>
      </c>
      <c r="J157" s="20" t="n">
        <v>3.524074</v>
      </c>
      <c r="K157" s="20" t="n">
        <v>3.656018</v>
      </c>
      <c r="L157" s="20" t="n">
        <v>3.712484</v>
      </c>
      <c r="M157" s="20" t="n">
        <v>3.734972</v>
      </c>
      <c r="N157" s="20" t="n">
        <v>3.554478</v>
      </c>
      <c r="O157" s="20" t="n">
        <v>3.57328</v>
      </c>
      <c r="P157" s="20" t="n">
        <v>3.619266</v>
      </c>
      <c r="Q157" s="20" t="n">
        <v>3.604552</v>
      </c>
      <c r="R157" s="20" t="n">
        <v>3.567194</v>
      </c>
      <c r="S157" s="20" t="n">
        <v>3.588292</v>
      </c>
      <c r="T157" s="23">
        <f>IFERROR(AVERAGE(D157:S157),"")</f>
        <v/>
      </c>
    </row>
    <row r="158">
      <c r="A158" s="22" t="n">
        <v>44494</v>
      </c>
      <c r="B158" s="22" t="n">
        <v>44498</v>
      </c>
      <c r="C158">
        <f>TEXT(A158,"yyyy-mm")</f>
        <v/>
      </c>
      <c r="D158" s="20" t="n">
        <v>3.456516</v>
      </c>
      <c r="E158" s="20" t="n">
        <v>3.457526</v>
      </c>
      <c r="F158" s="20" t="n">
        <v>3.456516</v>
      </c>
      <c r="G158" s="20" t="n">
        <v>3.45955</v>
      </c>
      <c r="H158" s="20" t="n">
        <v>3.491016</v>
      </c>
      <c r="I158" s="20" t="n">
        <v>3.476716</v>
      </c>
      <c r="J158" s="20" t="n">
        <v>3.498456</v>
      </c>
      <c r="K158" s="20" t="n">
        <v>3.623386</v>
      </c>
      <c r="L158" s="20" t="n">
        <v>3.685854</v>
      </c>
      <c r="M158" s="20" t="n">
        <v>3.708286</v>
      </c>
      <c r="N158" s="20" t="n">
        <v>3.52822</v>
      </c>
      <c r="O158" s="20" t="n">
        <v>3.546976</v>
      </c>
      <c r="P158" s="20" t="n">
        <v>3.592856</v>
      </c>
      <c r="Q158" s="20" t="n">
        <v>3.57817</v>
      </c>
      <c r="R158" s="20" t="n">
        <v>3.541008</v>
      </c>
      <c r="S158" s="20" t="n">
        <v>3.562524</v>
      </c>
      <c r="T158" s="23">
        <f>IFERROR(AVERAGE(D158:S158),"")</f>
        <v/>
      </c>
    </row>
    <row r="159">
      <c r="A159" s="22" t="n">
        <v>44501</v>
      </c>
      <c r="B159" s="22" t="n">
        <v>44505</v>
      </c>
      <c r="C159">
        <f>TEXT(A159,"yyyy-mm")</f>
        <v/>
      </c>
      <c r="D159" s="20" t="n">
        <v>3.414194</v>
      </c>
      <c r="E159" s="20" t="n">
        <v>3.415368</v>
      </c>
      <c r="F159" s="20" t="n">
        <v>3.414194</v>
      </c>
      <c r="G159" s="20" t="n">
        <v>3.417722</v>
      </c>
      <c r="H159" s="20" t="n">
        <v>3.456898</v>
      </c>
      <c r="I159" s="20" t="n">
        <v>3.44278</v>
      </c>
      <c r="J159" s="20" t="n">
        <v>3.465502</v>
      </c>
      <c r="K159" s="20" t="n">
        <v>3.582026</v>
      </c>
      <c r="L159" s="20" t="n">
        <v>3.652862</v>
      </c>
      <c r="M159" s="20" t="n">
        <v>3.675422</v>
      </c>
      <c r="N159" s="20" t="n">
        <v>3.494318</v>
      </c>
      <c r="O159" s="20" t="n">
        <v>3.51318</v>
      </c>
      <c r="P159" s="20" t="n">
        <v>3.559324</v>
      </c>
      <c r="Q159" s="20" t="n">
        <v>3.544562</v>
      </c>
      <c r="R159" s="20" t="n">
        <v>3.507444</v>
      </c>
      <c r="S159" s="20" t="n">
        <v>3.529938</v>
      </c>
      <c r="T159" s="23">
        <f>IFERROR(AVERAGE(D159:S159),"")</f>
        <v/>
      </c>
    </row>
    <row r="160">
      <c r="A160" s="22" t="n">
        <v>44508</v>
      </c>
      <c r="B160" s="22" t="n">
        <v>44512</v>
      </c>
      <c r="C160">
        <f>TEXT(A160,"yyyy-mm")</f>
        <v/>
      </c>
      <c r="D160" s="20" t="n">
        <v>3.259098</v>
      </c>
      <c r="E160" s="20" t="n">
        <v>3.26025</v>
      </c>
      <c r="F160" s="20" t="n">
        <v>3.259098</v>
      </c>
      <c r="G160" s="20" t="n">
        <v>3.262556</v>
      </c>
      <c r="H160" s="20" t="n">
        <v>3.301464</v>
      </c>
      <c r="I160" s="20" t="n">
        <v>3.287342</v>
      </c>
      <c r="J160" s="20" t="n">
        <v>3.309884</v>
      </c>
      <c r="K160" s="20" t="n">
        <v>3.422742</v>
      </c>
      <c r="L160" s="20" t="n">
        <v>3.492536</v>
      </c>
      <c r="M160" s="20" t="n">
        <v>3.514534</v>
      </c>
      <c r="N160" s="20" t="n">
        <v>3.33795</v>
      </c>
      <c r="O160" s="20" t="n">
        <v>3.356342</v>
      </c>
      <c r="P160" s="20" t="n">
        <v>3.401332</v>
      </c>
      <c r="Q160" s="20" t="n">
        <v>3.386936</v>
      </c>
      <c r="R160" s="20" t="n">
        <v>3.35039</v>
      </c>
      <c r="S160" s="20" t="n">
        <v>3.372708</v>
      </c>
      <c r="T160" s="23">
        <f>IFERROR(AVERAGE(D160:S160),"")</f>
        <v/>
      </c>
    </row>
    <row r="161">
      <c r="A161" s="22" t="n">
        <v>44515</v>
      </c>
      <c r="B161" s="22" t="n">
        <v>44519</v>
      </c>
      <c r="C161">
        <f>TEXT(A161,"yyyy-mm")</f>
        <v/>
      </c>
      <c r="D161" s="20" t="n">
        <v>3.246178</v>
      </c>
      <c r="E161" s="20" t="n">
        <v>3.247256</v>
      </c>
      <c r="F161" s="20" t="n">
        <v>3.246178</v>
      </c>
      <c r="G161" s="20" t="n">
        <v>3.249404</v>
      </c>
      <c r="H161" s="20" t="n">
        <v>3.284582</v>
      </c>
      <c r="I161" s="20" t="n">
        <v>3.27037</v>
      </c>
      <c r="J161" s="20" t="n">
        <v>3.29245</v>
      </c>
      <c r="K161" s="20" t="n">
        <v>3.41144</v>
      </c>
      <c r="L161" s="20" t="n">
        <v>3.477538</v>
      </c>
      <c r="M161" s="20" t="n">
        <v>3.499754</v>
      </c>
      <c r="N161" s="20" t="n">
        <v>3.321426</v>
      </c>
      <c r="O161" s="20" t="n">
        <v>3.34</v>
      </c>
      <c r="P161" s="20" t="n">
        <v>3.385436</v>
      </c>
      <c r="Q161" s="20" t="n">
        <v>3.370896</v>
      </c>
      <c r="R161" s="20" t="n">
        <v>3.334042</v>
      </c>
      <c r="S161" s="20" t="n">
        <v>3.355898</v>
      </c>
      <c r="T161" s="23">
        <f>IFERROR(AVERAGE(D161:S161),"")</f>
        <v/>
      </c>
    </row>
    <row r="162">
      <c r="A162" s="22" t="n">
        <v>44522</v>
      </c>
      <c r="B162" s="22" t="n">
        <v>44524</v>
      </c>
      <c r="C162">
        <f>TEXT(A162,"yyyy-mm")</f>
        <v/>
      </c>
      <c r="D162" s="20" t="n">
        <v>3.203157</v>
      </c>
      <c r="E162" s="20" t="n">
        <v>3.20417</v>
      </c>
      <c r="F162" s="20" t="n">
        <v>3.203157</v>
      </c>
      <c r="G162" s="20" t="n">
        <v>3.206197</v>
      </c>
      <c r="H162" s="20" t="n">
        <v>3.238087</v>
      </c>
      <c r="I162" s="20" t="n">
        <v>3.2238</v>
      </c>
      <c r="J162" s="20" t="n">
        <v>3.245537</v>
      </c>
      <c r="K162" s="20" t="n">
        <v>3.37046</v>
      </c>
      <c r="L162" s="20" t="n">
        <v>3.433427</v>
      </c>
      <c r="M162" s="20" t="n">
        <v>3.455917</v>
      </c>
      <c r="N162" s="20" t="n">
        <v>3.27539</v>
      </c>
      <c r="O162" s="20" t="n">
        <v>3.294193</v>
      </c>
      <c r="P162" s="20" t="n">
        <v>3.34019</v>
      </c>
      <c r="Q162" s="20" t="n">
        <v>3.32547</v>
      </c>
      <c r="R162" s="20" t="n">
        <v>3.288257</v>
      </c>
      <c r="S162" s="20" t="n">
        <v>3.309773</v>
      </c>
      <c r="T162" s="23">
        <f>IFERROR(AVERAGE(D162:S162),"")</f>
        <v/>
      </c>
    </row>
    <row r="163">
      <c r="A163" s="22" t="n">
        <v>44529</v>
      </c>
      <c r="B163" s="22" t="n">
        <v>44533</v>
      </c>
      <c r="C163">
        <f>TEXT(A163,"yyyy-mm")</f>
        <v/>
      </c>
      <c r="D163" s="20" t="n">
        <v>2.929306</v>
      </c>
      <c r="E163" s="20" t="n">
        <v>2.930318</v>
      </c>
      <c r="F163" s="20" t="n">
        <v>2.929306</v>
      </c>
      <c r="G163" s="20" t="n">
        <v>2.932342</v>
      </c>
      <c r="H163" s="20" t="n">
        <v>2.963438</v>
      </c>
      <c r="I163" s="20" t="n">
        <v>2.94913</v>
      </c>
      <c r="J163" s="20" t="n">
        <v>2.9709</v>
      </c>
      <c r="K163" s="20" t="n">
        <v>3.098156</v>
      </c>
      <c r="L163" s="20" t="n">
        <v>3.160596</v>
      </c>
      <c r="M163" s="20" t="n">
        <v>3.183292</v>
      </c>
      <c r="N163" s="20" t="n">
        <v>3.001088</v>
      </c>
      <c r="O163" s="20" t="n">
        <v>3.020064</v>
      </c>
      <c r="P163" s="20" t="n">
        <v>3.06649</v>
      </c>
      <c r="Q163" s="20" t="n">
        <v>3.051636</v>
      </c>
      <c r="R163" s="20" t="n">
        <v>3.01419</v>
      </c>
      <c r="S163" s="20" t="n">
        <v>3.035726</v>
      </c>
      <c r="T163" s="23">
        <f>IFERROR(AVERAGE(D163:S163),"")</f>
        <v/>
      </c>
    </row>
    <row r="164">
      <c r="A164" s="22" t="n">
        <v>44536</v>
      </c>
      <c r="B164" s="22" t="n">
        <v>44540</v>
      </c>
      <c r="C164">
        <f>TEXT(A164,"yyyy-mm")</f>
        <v/>
      </c>
      <c r="D164" s="20" t="n">
        <v>2.976262</v>
      </c>
      <c r="E164" s="20" t="n">
        <v>2.977382</v>
      </c>
      <c r="F164" s="20" t="n">
        <v>2.976262</v>
      </c>
      <c r="G164" s="20" t="n">
        <v>2.979626</v>
      </c>
      <c r="H164" s="20" t="n">
        <v>3.017262</v>
      </c>
      <c r="I164" s="20" t="n">
        <v>3.00311</v>
      </c>
      <c r="J164" s="20" t="n">
        <v>3.025454</v>
      </c>
      <c r="K164" s="20" t="n">
        <v>3.143836</v>
      </c>
      <c r="L164" s="20" t="n">
        <v>3.21292</v>
      </c>
      <c r="M164" s="20" t="n">
        <v>3.235444</v>
      </c>
      <c r="N164" s="20" t="n">
        <v>3.054622</v>
      </c>
      <c r="O164" s="20" t="n">
        <v>3.073456</v>
      </c>
      <c r="P164" s="20" t="n">
        <v>3.119528</v>
      </c>
      <c r="Q164" s="20" t="n">
        <v>3.104786</v>
      </c>
      <c r="R164" s="20" t="n">
        <v>3.06767</v>
      </c>
      <c r="S164" s="20" t="n">
        <v>3.089788</v>
      </c>
      <c r="T164" s="23">
        <f>IFERROR(AVERAGE(D164:S164),"")</f>
        <v/>
      </c>
    </row>
    <row r="165">
      <c r="A165" s="22" t="n">
        <v>44543</v>
      </c>
      <c r="B165" s="22" t="n">
        <v>44547</v>
      </c>
      <c r="C165">
        <f>TEXT(A165,"yyyy-mm")</f>
        <v/>
      </c>
      <c r="D165" s="20" t="n">
        <v>3.10678</v>
      </c>
      <c r="E165" s="20" t="n">
        <v>3.107976</v>
      </c>
      <c r="F165" s="20" t="n">
        <v>3.10678</v>
      </c>
      <c r="G165" s="20" t="n">
        <v>3.110372</v>
      </c>
      <c r="H165" s="20" t="n">
        <v>3.15158</v>
      </c>
      <c r="I165" s="20" t="n">
        <v>3.137514</v>
      </c>
      <c r="J165" s="20" t="n">
        <v>3.16031</v>
      </c>
      <c r="K165" s="20" t="n">
        <v>3.276808</v>
      </c>
      <c r="L165" s="20" t="n">
        <v>3.350108</v>
      </c>
      <c r="M165" s="20" t="n">
        <v>3.372968</v>
      </c>
      <c r="N165" s="20" t="n">
        <v>3.189492</v>
      </c>
      <c r="O165" s="20" t="n">
        <v>3.2086</v>
      </c>
      <c r="P165" s="20" t="n">
        <v>3.255348</v>
      </c>
      <c r="Q165" s="20" t="n">
        <v>3.240392</v>
      </c>
      <c r="R165" s="20" t="n">
        <v>3.203026</v>
      </c>
      <c r="S165" s="20" t="n">
        <v>3.22559</v>
      </c>
      <c r="T165" s="23">
        <f>IFERROR(AVERAGE(D165:S165),"")</f>
        <v/>
      </c>
    </row>
    <row r="166">
      <c r="A166" s="22" t="n">
        <v>44550</v>
      </c>
      <c r="B166" s="22" t="n">
        <v>44553</v>
      </c>
      <c r="C166">
        <f>TEXT(A166,"yyyy-mm")</f>
        <v/>
      </c>
      <c r="D166" s="20" t="n">
        <v>3.137833</v>
      </c>
      <c r="E166" s="20" t="n">
        <v>3.138918</v>
      </c>
      <c r="F166" s="20" t="n">
        <v>3.137833</v>
      </c>
      <c r="G166" s="20" t="n">
        <v>3.14109</v>
      </c>
      <c r="H166" s="20" t="n">
        <v>3.178948</v>
      </c>
      <c r="I166" s="20" t="n">
        <v>3.164808</v>
      </c>
      <c r="J166" s="20" t="n">
        <v>3.186853</v>
      </c>
      <c r="K166" s="20" t="n">
        <v>3.308243</v>
      </c>
      <c r="L166" s="20" t="n">
        <v>3.37792</v>
      </c>
      <c r="M166" s="20" t="n">
        <v>3.400828</v>
      </c>
      <c r="N166" s="20" t="n">
        <v>3.216945</v>
      </c>
      <c r="O166" s="20" t="n">
        <v>3.236098</v>
      </c>
      <c r="P166" s="20" t="n">
        <v>3.282948</v>
      </c>
      <c r="Q166" s="20" t="n">
        <v>3.267955</v>
      </c>
      <c r="R166" s="20" t="n">
        <v>3.23046</v>
      </c>
      <c r="S166" s="20" t="n">
        <v>3.252278</v>
      </c>
      <c r="T166" s="23">
        <f>IFERROR(AVERAGE(D166:S166),"")</f>
        <v/>
      </c>
    </row>
    <row r="167">
      <c r="A167" s="22" t="n">
        <v>44557</v>
      </c>
      <c r="B167" s="22" t="n">
        <v>44560</v>
      </c>
      <c r="C167">
        <f>TEXT(A167,"yyyy-mm")</f>
        <v/>
      </c>
      <c r="D167" s="20" t="n">
        <v>3.253805</v>
      </c>
      <c r="E167" s="20" t="n">
        <v>3.25487</v>
      </c>
      <c r="F167" s="20" t="n">
        <v>3.253805</v>
      </c>
      <c r="G167" s="20" t="n">
        <v>3.257003</v>
      </c>
      <c r="H167" s="20" t="n">
        <v>3.293285</v>
      </c>
      <c r="I167" s="20" t="n">
        <v>3.279103</v>
      </c>
      <c r="J167" s="20" t="n">
        <v>3.301065</v>
      </c>
      <c r="K167" s="20" t="n">
        <v>3.422208</v>
      </c>
      <c r="L167" s="20" t="n">
        <v>3.489915</v>
      </c>
      <c r="M167" s="20" t="n">
        <v>3.512553</v>
      </c>
      <c r="N167" s="20" t="n">
        <v>3.33083</v>
      </c>
      <c r="O167" s="20" t="n">
        <v>3.34976</v>
      </c>
      <c r="P167" s="20" t="n">
        <v>3.396058</v>
      </c>
      <c r="Q167" s="20" t="n">
        <v>3.381243</v>
      </c>
      <c r="R167" s="20" t="n">
        <v>3.343985</v>
      </c>
      <c r="S167" s="20" t="n">
        <v>3.365723</v>
      </c>
      <c r="T167" s="23">
        <f>IFERROR(AVERAGE(D167:S167),"")</f>
        <v/>
      </c>
    </row>
    <row r="168">
      <c r="A168" s="22" t="n">
        <v>44564</v>
      </c>
      <c r="B168" s="22" t="n">
        <v>44568</v>
      </c>
      <c r="C168">
        <f>TEXT(A168,"yyyy-mm")</f>
        <v/>
      </c>
      <c r="D168" s="20" t="n">
        <v>3.332078</v>
      </c>
      <c r="E168" s="20" t="n">
        <v>3.333114</v>
      </c>
      <c r="F168" s="20" t="n">
        <v>3.332078</v>
      </c>
      <c r="G168" s="20" t="n">
        <v>3.33519</v>
      </c>
      <c r="H168" s="20" t="n">
        <v>3.36893</v>
      </c>
      <c r="I168" s="20" t="n">
        <v>3.354626</v>
      </c>
      <c r="J168" s="20" t="n">
        <v>3.376606</v>
      </c>
      <c r="K168" s="20" t="n">
        <v>3.501572</v>
      </c>
      <c r="L168" s="20" t="n">
        <v>3.566834</v>
      </c>
      <c r="M168" s="20" t="n">
        <v>3.589616</v>
      </c>
      <c r="N168" s="20" t="n">
        <v>3.406722</v>
      </c>
      <c r="O168" s="20" t="n">
        <v>3.42577</v>
      </c>
      <c r="P168" s="20" t="n">
        <v>3.472368</v>
      </c>
      <c r="Q168" s="20" t="n">
        <v>3.457458</v>
      </c>
      <c r="R168" s="20" t="n">
        <v>3.41993</v>
      </c>
      <c r="S168" s="20" t="n">
        <v>3.44168</v>
      </c>
      <c r="T168" s="23">
        <f>IFERROR(AVERAGE(D168:S168),"")</f>
        <v/>
      </c>
    </row>
    <row r="169">
      <c r="A169" s="22" t="n">
        <v>44571</v>
      </c>
      <c r="B169" s="22" t="n">
        <v>44575</v>
      </c>
      <c r="C169">
        <f>TEXT(A169,"yyyy-mm")</f>
        <v/>
      </c>
      <c r="D169" s="20" t="n">
        <v>3.287478</v>
      </c>
      <c r="E169" s="20" t="n">
        <v>3.288494</v>
      </c>
      <c r="F169" s="20" t="n">
        <v>3.287478</v>
      </c>
      <c r="G169" s="20" t="n">
        <v>3.29053</v>
      </c>
      <c r="H169" s="20" t="n">
        <v>3.324582</v>
      </c>
      <c r="I169" s="20" t="n">
        <v>3.310286</v>
      </c>
      <c r="J169" s="20" t="n">
        <v>3.332092</v>
      </c>
      <c r="K169" s="20" t="n">
        <v>3.45377</v>
      </c>
      <c r="L169" s="20" t="n">
        <v>3.51875</v>
      </c>
      <c r="M169" s="20" t="n">
        <v>3.541104</v>
      </c>
      <c r="N169" s="20" t="n">
        <v>3.36166</v>
      </c>
      <c r="O169" s="20" t="n">
        <v>3.38035</v>
      </c>
      <c r="P169" s="20" t="n">
        <v>3.42607</v>
      </c>
      <c r="Q169" s="20" t="n">
        <v>3.41144</v>
      </c>
      <c r="R169" s="20" t="n">
        <v>3.37436</v>
      </c>
      <c r="S169" s="20" t="n">
        <v>3.395936</v>
      </c>
      <c r="T169" s="23">
        <f>IFERROR(AVERAGE(D169:S169),"")</f>
        <v/>
      </c>
    </row>
    <row r="170">
      <c r="A170" s="22" t="n">
        <v>44578</v>
      </c>
      <c r="B170" s="22" t="n">
        <v>44582</v>
      </c>
      <c r="C170">
        <f>TEXT(A170,"yyyy-mm")</f>
        <v/>
      </c>
      <c r="D170" s="20" t="n">
        <v>3.36536</v>
      </c>
      <c r="E170" s="20" t="n">
        <v>3.366335</v>
      </c>
      <c r="F170" s="20" t="n">
        <v>3.36536</v>
      </c>
      <c r="G170" s="20" t="n">
        <v>3.368293</v>
      </c>
      <c r="H170" s="20" t="n">
        <v>3.400303</v>
      </c>
      <c r="I170" s="20" t="n">
        <v>3.385963</v>
      </c>
      <c r="J170" s="20" t="n">
        <v>3.407533</v>
      </c>
      <c r="K170" s="20" t="n">
        <v>3.5289</v>
      </c>
      <c r="L170" s="20" t="n">
        <v>3.591253</v>
      </c>
      <c r="M170" s="20" t="n">
        <v>3.61324</v>
      </c>
      <c r="N170" s="20" t="n">
        <v>3.436765</v>
      </c>
      <c r="O170" s="20" t="n">
        <v>3.455145</v>
      </c>
      <c r="P170" s="20" t="n">
        <v>3.500108</v>
      </c>
      <c r="Q170" s="20" t="n">
        <v>3.485723</v>
      </c>
      <c r="R170" s="20" t="n">
        <v>3.448973</v>
      </c>
      <c r="S170" s="20" t="n">
        <v>3.470318</v>
      </c>
      <c r="T170" s="23">
        <f>IFERROR(AVERAGE(D170:S170),"")</f>
        <v/>
      </c>
    </row>
    <row r="171">
      <c r="A171" s="22" t="n">
        <v>44585</v>
      </c>
      <c r="B171" s="22" t="n">
        <v>44589</v>
      </c>
      <c r="C171">
        <f>TEXT(A171,"yyyy-mm")</f>
        <v/>
      </c>
      <c r="D171" s="20" t="n">
        <v>3.386052</v>
      </c>
      <c r="E171" s="20" t="n">
        <v>3.386992</v>
      </c>
      <c r="F171" s="20" t="n">
        <v>3.386052</v>
      </c>
      <c r="G171" s="20" t="n">
        <v>3.388864</v>
      </c>
      <c r="H171" s="20" t="n">
        <v>3.418916</v>
      </c>
      <c r="I171" s="20" t="n">
        <v>3.404534</v>
      </c>
      <c r="J171" s="20" t="n">
        <v>3.425854</v>
      </c>
      <c r="K171" s="20" t="n">
        <v>3.54842</v>
      </c>
      <c r="L171" s="20" t="n">
        <v>3.608498</v>
      </c>
      <c r="M171" s="20" t="n">
        <v>3.630326</v>
      </c>
      <c r="N171" s="20" t="n">
        <v>3.455116</v>
      </c>
      <c r="O171" s="20" t="n">
        <v>3.473368</v>
      </c>
      <c r="P171" s="20" t="n">
        <v>3.518008</v>
      </c>
      <c r="Q171" s="20" t="n">
        <v>3.503722</v>
      </c>
      <c r="R171" s="20" t="n">
        <v>3.467094</v>
      </c>
      <c r="S171" s="20" t="n">
        <v>3.488194</v>
      </c>
      <c r="T171" s="23">
        <f>IFERROR(AVERAGE(D171:S171),"")</f>
        <v/>
      </c>
    </row>
    <row r="172">
      <c r="A172" s="22" t="n">
        <v>44592</v>
      </c>
      <c r="B172" s="22" t="n">
        <v>44596</v>
      </c>
      <c r="C172">
        <f>TEXT(A172,"yyyy-mm")</f>
        <v/>
      </c>
      <c r="D172" s="20" t="n">
        <v>3.475714</v>
      </c>
      <c r="E172" s="20" t="n">
        <v>3.476654</v>
      </c>
      <c r="F172" s="20" t="n">
        <v>3.475714</v>
      </c>
      <c r="G172" s="20" t="n">
        <v>3.478532</v>
      </c>
      <c r="H172" s="20" t="n">
        <v>3.508106</v>
      </c>
      <c r="I172" s="20" t="n">
        <v>3.49371</v>
      </c>
      <c r="J172" s="20" t="n">
        <v>3.515066</v>
      </c>
      <c r="K172" s="20" t="n">
        <v>3.63397</v>
      </c>
      <c r="L172" s="20" t="n">
        <v>3.692882</v>
      </c>
      <c r="M172" s="20" t="n">
        <v>3.714154</v>
      </c>
      <c r="N172" s="20" t="n">
        <v>3.54339</v>
      </c>
      <c r="O172" s="20" t="n">
        <v>3.561176</v>
      </c>
      <c r="P172" s="20" t="n">
        <v>3.604682</v>
      </c>
      <c r="Q172" s="20" t="n">
        <v>3.59076</v>
      </c>
      <c r="R172" s="20" t="n">
        <v>3.554682</v>
      </c>
      <c r="S172" s="20" t="n">
        <v>3.575824</v>
      </c>
      <c r="T172" s="23">
        <f>IFERROR(AVERAGE(D172:S172),"")</f>
        <v/>
      </c>
    </row>
    <row r="173">
      <c r="A173" s="22" t="n">
        <v>44599</v>
      </c>
      <c r="B173" s="22" t="n">
        <v>44603</v>
      </c>
      <c r="C173">
        <f>TEXT(A173,"yyyy-mm")</f>
        <v/>
      </c>
      <c r="D173" s="20" t="n">
        <v>3.550366</v>
      </c>
      <c r="E173" s="20" t="n">
        <v>3.551332</v>
      </c>
      <c r="F173" s="20" t="n">
        <v>3.550366</v>
      </c>
      <c r="G173" s="20" t="n">
        <v>3.553256</v>
      </c>
      <c r="H173" s="20" t="n">
        <v>3.586034</v>
      </c>
      <c r="I173" s="20" t="n">
        <v>3.571712</v>
      </c>
      <c r="J173" s="20" t="n">
        <v>3.593128</v>
      </c>
      <c r="K173" s="20" t="n">
        <v>3.706912</v>
      </c>
      <c r="L173" s="20" t="n">
        <v>3.768822</v>
      </c>
      <c r="M173" s="20" t="n">
        <v>3.789864</v>
      </c>
      <c r="N173" s="20" t="n">
        <v>3.620938</v>
      </c>
      <c r="O173" s="20" t="n">
        <v>3.638532</v>
      </c>
      <c r="P173" s="20" t="n">
        <v>3.681572</v>
      </c>
      <c r="Q173" s="20" t="n">
        <v>3.6678</v>
      </c>
      <c r="R173" s="20" t="n">
        <v>3.632028</v>
      </c>
      <c r="S173" s="20" t="n">
        <v>3.653234</v>
      </c>
      <c r="T173" s="23">
        <f>IFERROR(AVERAGE(D173:S173),"")</f>
        <v/>
      </c>
    </row>
    <row r="174">
      <c r="A174" s="22" t="n">
        <v>44606</v>
      </c>
      <c r="B174" s="22" t="n">
        <v>44610</v>
      </c>
      <c r="C174">
        <f>TEXT(A174,"yyyy-mm")</f>
        <v/>
      </c>
      <c r="D174" s="20" t="n">
        <v>3.549812</v>
      </c>
      <c r="E174" s="20" t="n">
        <v>3.550854</v>
      </c>
      <c r="F174" s="20" t="n">
        <v>3.549812</v>
      </c>
      <c r="G174" s="20" t="n">
        <v>3.55294</v>
      </c>
      <c r="H174" s="20" t="n">
        <v>3.590126</v>
      </c>
      <c r="I174" s="20" t="n">
        <v>3.5759</v>
      </c>
      <c r="J174" s="20" t="n">
        <v>3.597776</v>
      </c>
      <c r="K174" s="20" t="n">
        <v>3.704202</v>
      </c>
      <c r="L174" s="20" t="n">
        <v>3.770396</v>
      </c>
      <c r="M174" s="20" t="n">
        <v>3.791152</v>
      </c>
      <c r="N174" s="20" t="n">
        <v>3.624552</v>
      </c>
      <c r="O174" s="20" t="n">
        <v>3.641898</v>
      </c>
      <c r="P174" s="20" t="n">
        <v>3.68435</v>
      </c>
      <c r="Q174" s="20" t="n">
        <v>3.670766</v>
      </c>
      <c r="R174" s="20" t="n">
        <v>3.635384</v>
      </c>
      <c r="S174" s="20" t="n">
        <v>3.65705</v>
      </c>
      <c r="T174" s="23">
        <f>IFERROR(AVERAGE(D174:S174),"")</f>
        <v/>
      </c>
    </row>
    <row r="175">
      <c r="A175" s="22" t="n">
        <v>44613</v>
      </c>
      <c r="B175" s="22" t="n">
        <v>44617</v>
      </c>
      <c r="C175">
        <f>TEXT(A175,"yyyy-mm")</f>
        <v/>
      </c>
      <c r="D175" s="20" t="n">
        <v>3.501628</v>
      </c>
      <c r="E175" s="20" t="n">
        <v>3.50279</v>
      </c>
      <c r="F175" s="20" t="n">
        <v>3.501628</v>
      </c>
      <c r="G175" s="20" t="n">
        <v>3.505115</v>
      </c>
      <c r="H175" s="20" t="n">
        <v>3.547268</v>
      </c>
      <c r="I175" s="20" t="n">
        <v>3.533148</v>
      </c>
      <c r="J175" s="20" t="n">
        <v>3.555778</v>
      </c>
      <c r="K175" s="20" t="n">
        <v>3.653488</v>
      </c>
      <c r="L175" s="20" t="n">
        <v>3.724583</v>
      </c>
      <c r="M175" s="20" t="n">
        <v>3.745</v>
      </c>
      <c r="N175" s="20" t="n">
        <v>3.581128</v>
      </c>
      <c r="O175" s="20" t="n">
        <v>3.598195</v>
      </c>
      <c r="P175" s="20" t="n">
        <v>3.639948</v>
      </c>
      <c r="Q175" s="20" t="n">
        <v>3.626588</v>
      </c>
      <c r="R175" s="20" t="n">
        <v>3.591655</v>
      </c>
      <c r="S175" s="20" t="n">
        <v>3.614083</v>
      </c>
      <c r="T175" s="23">
        <f>IFERROR(AVERAGE(D175:S175),"")</f>
        <v/>
      </c>
    </row>
    <row r="176">
      <c r="A176" s="22" t="n">
        <v>44620</v>
      </c>
      <c r="B176" s="22" t="n">
        <v>44624</v>
      </c>
      <c r="C176">
        <f>TEXT(A176,"yyyy-mm")</f>
        <v/>
      </c>
      <c r="D176" s="20" t="n">
        <v>3.862356</v>
      </c>
      <c r="E176" s="20" t="n">
        <v>3.863566</v>
      </c>
      <c r="F176" s="20" t="n">
        <v>3.862356</v>
      </c>
      <c r="G176" s="20" t="n">
        <v>3.865986</v>
      </c>
      <c r="H176" s="20" t="n">
        <v>3.912738</v>
      </c>
      <c r="I176" s="20" t="n">
        <v>3.898718</v>
      </c>
      <c r="J176" s="20" t="n">
        <v>3.921542</v>
      </c>
      <c r="K176" s="20" t="n">
        <v>4.01493</v>
      </c>
      <c r="L176" s="20" t="n">
        <v>4.090888</v>
      </c>
      <c r="M176" s="20" t="n">
        <v>4.111396</v>
      </c>
      <c r="N176" s="20" t="n">
        <v>3.946754</v>
      </c>
      <c r="O176" s="20" t="n">
        <v>3.963902</v>
      </c>
      <c r="P176" s="20" t="n">
        <v>4.00585</v>
      </c>
      <c r="Q176" s="20" t="n">
        <v>3.99243</v>
      </c>
      <c r="R176" s="20" t="n">
        <v>3.957506</v>
      </c>
      <c r="S176" s="20" t="n">
        <v>3.980122</v>
      </c>
      <c r="T176" s="23">
        <f>IFERROR(AVERAGE(D176:S176),"")</f>
        <v/>
      </c>
    </row>
    <row r="177">
      <c r="A177" s="22" t="n">
        <v>44627</v>
      </c>
      <c r="B177" s="22" t="n">
        <v>44631</v>
      </c>
      <c r="C177">
        <f>TEXT(A177,"yyyy-mm")</f>
        <v/>
      </c>
      <c r="D177" s="20" t="n">
        <v>4.261772</v>
      </c>
      <c r="E177" s="20" t="n">
        <v>4.263052</v>
      </c>
      <c r="F177" s="20" t="n">
        <v>4.261772</v>
      </c>
      <c r="G177" s="20" t="n">
        <v>4.26562</v>
      </c>
      <c r="H177" s="20" t="n">
        <v>4.315028</v>
      </c>
      <c r="I177" s="20" t="n">
        <v>4.301066</v>
      </c>
      <c r="J177" s="20" t="n">
        <v>4.324354</v>
      </c>
      <c r="K177" s="20" t="n">
        <v>4.412462000000001</v>
      </c>
      <c r="L177" s="20" t="n">
        <v>4.490974</v>
      </c>
      <c r="M177" s="20" t="n">
        <v>4.511229999999999</v>
      </c>
      <c r="N177" s="20" t="n">
        <v>4.348626</v>
      </c>
      <c r="O177" s="20" t="n">
        <v>4.36556</v>
      </c>
      <c r="P177" s="20" t="n">
        <v>4.406988</v>
      </c>
      <c r="Q177" s="20" t="n">
        <v>4.393732</v>
      </c>
      <c r="R177" s="20" t="n">
        <v>4.359126</v>
      </c>
      <c r="S177" s="20" t="n">
        <v>4.382207999999999</v>
      </c>
      <c r="T177" s="23">
        <f>IFERROR(AVERAGE(D177:S177),"")</f>
        <v/>
      </c>
    </row>
    <row r="178">
      <c r="A178" s="22" t="n">
        <v>44634</v>
      </c>
      <c r="B178" s="22" t="n">
        <v>44638</v>
      </c>
      <c r="C178">
        <f>TEXT(A178,"yyyy-mm")</f>
        <v/>
      </c>
      <c r="D178" s="20" t="n">
        <v>3.85863</v>
      </c>
      <c r="E178" s="20" t="n">
        <v>3.859902</v>
      </c>
      <c r="F178" s="20" t="n">
        <v>3.85863</v>
      </c>
      <c r="G178" s="20" t="n">
        <v>3.862446</v>
      </c>
      <c r="H178" s="20" t="n">
        <v>3.912168</v>
      </c>
      <c r="I178" s="20" t="n">
        <v>3.898216</v>
      </c>
      <c r="J178" s="20" t="n">
        <v>3.921406</v>
      </c>
      <c r="K178" s="20" t="n">
        <v>4.01092</v>
      </c>
      <c r="L178" s="20" t="n">
        <v>4.089984</v>
      </c>
      <c r="M178" s="20" t="n">
        <v>4.110456</v>
      </c>
      <c r="N178" s="20" t="n">
        <v>3.946124</v>
      </c>
      <c r="O178" s="20" t="n">
        <v>3.96324</v>
      </c>
      <c r="P178" s="20" t="n">
        <v>4.005108</v>
      </c>
      <c r="Q178" s="20" t="n">
        <v>3.991712</v>
      </c>
      <c r="R178" s="20" t="n">
        <v>3.95689</v>
      </c>
      <c r="S178" s="20" t="n">
        <v>3.979874</v>
      </c>
      <c r="T178" s="23">
        <f>IFERROR(AVERAGE(D178:S178),"")</f>
        <v/>
      </c>
    </row>
    <row r="179">
      <c r="A179" s="22" t="n">
        <v>44641</v>
      </c>
      <c r="B179" s="22" t="n">
        <v>44645</v>
      </c>
      <c r="C179">
        <f>TEXT(A179,"yyyy-mm")</f>
        <v/>
      </c>
      <c r="D179" s="20" t="n">
        <v>3.968666</v>
      </c>
      <c r="E179" s="20" t="n">
        <v>3.96972</v>
      </c>
      <c r="F179" s="20" t="n">
        <v>3.968666</v>
      </c>
      <c r="G179" s="20" t="n">
        <v>3.971834</v>
      </c>
      <c r="H179" s="20" t="n">
        <v>4.012316</v>
      </c>
      <c r="I179" s="20" t="n">
        <v>3.998166</v>
      </c>
      <c r="J179" s="20" t="n">
        <v>4.02</v>
      </c>
      <c r="K179" s="20" t="n">
        <v>4.113948000000001</v>
      </c>
      <c r="L179" s="20" t="n">
        <v>4.181946</v>
      </c>
      <c r="M179" s="20" t="n">
        <v>4.201476</v>
      </c>
      <c r="N179" s="20" t="n">
        <v>4.044708</v>
      </c>
      <c r="O179" s="20" t="n">
        <v>4.061036</v>
      </c>
      <c r="P179" s="20" t="n">
        <v>4.10098</v>
      </c>
      <c r="Q179" s="20" t="n">
        <v>4.088196</v>
      </c>
      <c r="R179" s="20" t="n">
        <v>4.054142</v>
      </c>
      <c r="S179" s="20" t="n">
        <v>4.075782</v>
      </c>
      <c r="T179" s="23">
        <f>IFERROR(AVERAGE(D179:S179),"")</f>
        <v/>
      </c>
    </row>
    <row r="180">
      <c r="A180" s="22" t="n">
        <v>44648</v>
      </c>
      <c r="B180" s="22" t="n">
        <v>44652</v>
      </c>
      <c r="C180">
        <f>TEXT(A180,"yyyy-mm")</f>
        <v/>
      </c>
      <c r="D180" s="20" t="n">
        <v>3.737622</v>
      </c>
      <c r="E180" s="20" t="n">
        <v>3.738868</v>
      </c>
      <c r="F180" s="20" t="n">
        <v>3.737622</v>
      </c>
      <c r="G180" s="20" t="n">
        <v>3.741354</v>
      </c>
      <c r="H180" s="20" t="n">
        <v>3.791174</v>
      </c>
      <c r="I180" s="20" t="n">
        <v>3.777226</v>
      </c>
      <c r="J180" s="20" t="n">
        <v>3.80017</v>
      </c>
      <c r="K180" s="20" t="n">
        <v>3.879544</v>
      </c>
      <c r="L180" s="20" t="n">
        <v>3.956882</v>
      </c>
      <c r="M180" s="20" t="n">
        <v>3.975958</v>
      </c>
      <c r="N180" s="20" t="n">
        <v>3.822818</v>
      </c>
      <c r="O180" s="20" t="n">
        <v>3.838766</v>
      </c>
      <c r="P180" s="20" t="n">
        <v>3.877784</v>
      </c>
      <c r="Q180" s="20" t="n">
        <v>3.8653</v>
      </c>
      <c r="R180" s="20" t="n">
        <v>3.831906</v>
      </c>
      <c r="S180" s="20" t="n">
        <v>3.854654</v>
      </c>
      <c r="T180" s="23">
        <f>IFERROR(AVERAGE(D180:S180),"")</f>
        <v/>
      </c>
    </row>
    <row r="181">
      <c r="A181" s="22" t="n">
        <v>44655</v>
      </c>
      <c r="B181" s="22" t="n">
        <v>44659</v>
      </c>
      <c r="C181">
        <f>TEXT(A181,"yyyy-mm")</f>
        <v/>
      </c>
      <c r="D181" s="20" t="n">
        <v>3.544168</v>
      </c>
      <c r="E181" s="20" t="n">
        <v>3.546628</v>
      </c>
      <c r="F181" s="20" t="n">
        <v>3.544168</v>
      </c>
      <c r="G181" s="20" t="n">
        <v>3.551546</v>
      </c>
      <c r="H181" s="20" t="n">
        <v>3.640458</v>
      </c>
      <c r="I181" s="20" t="n">
        <v>3.62731</v>
      </c>
      <c r="J181" s="20" t="n">
        <v>3.658462</v>
      </c>
      <c r="K181" s="20" t="n">
        <v>3.684338</v>
      </c>
      <c r="L181" s="20" t="n">
        <v>3.80412</v>
      </c>
      <c r="M181" s="20" t="n">
        <v>3.822962</v>
      </c>
      <c r="N181" s="20" t="n">
        <v>3.671708</v>
      </c>
      <c r="O181" s="20" t="n">
        <v>3.687462</v>
      </c>
      <c r="P181" s="20" t="n">
        <v>3.726</v>
      </c>
      <c r="Q181" s="20" t="n">
        <v>3.71367</v>
      </c>
      <c r="R181" s="20" t="n">
        <v>3.681316</v>
      </c>
      <c r="S181" s="20" t="n">
        <v>3.712276</v>
      </c>
      <c r="T181" s="23">
        <f>IFERROR(AVERAGE(D181:S181),"")</f>
        <v/>
      </c>
    </row>
    <row r="182">
      <c r="A182" s="22" t="n">
        <v>44662</v>
      </c>
      <c r="B182" s="22" t="n">
        <v>44665</v>
      </c>
      <c r="C182">
        <f>TEXT(A182,"yyyy-mm")</f>
        <v/>
      </c>
      <c r="D182" s="20" t="n">
        <v>3.573775</v>
      </c>
      <c r="E182" s="20" t="n">
        <v>3.576465</v>
      </c>
      <c r="F182" s="20" t="n">
        <v>3.573775</v>
      </c>
      <c r="G182" s="20" t="n">
        <v>3.581843</v>
      </c>
      <c r="H182" s="20" t="n">
        <v>3.67458</v>
      </c>
      <c r="I182" s="20" t="n">
        <v>3.661503</v>
      </c>
      <c r="J182" s="20" t="n">
        <v>3.694373</v>
      </c>
      <c r="K182" s="20" t="n">
        <v>3.713823</v>
      </c>
      <c r="L182" s="20" t="n">
        <v>3.8381</v>
      </c>
      <c r="M182" s="20" t="n">
        <v>3.856925</v>
      </c>
      <c r="N182" s="20" t="n">
        <v>3.705805</v>
      </c>
      <c r="O182" s="20" t="n">
        <v>3.721545</v>
      </c>
      <c r="P182" s="20" t="n">
        <v>3.760048</v>
      </c>
      <c r="Q182" s="20" t="n">
        <v>3.74773</v>
      </c>
      <c r="R182" s="20" t="n">
        <v>3.71546</v>
      </c>
      <c r="S182" s="20" t="n">
        <v>3.748138</v>
      </c>
      <c r="T182" s="23">
        <f>IFERROR(AVERAGE(D182:S182),"")</f>
        <v/>
      </c>
    </row>
    <row r="183">
      <c r="A183" s="22" t="n">
        <v>44669</v>
      </c>
      <c r="B183" s="22" t="n">
        <v>44673</v>
      </c>
      <c r="C183">
        <f>TEXT(A183,"yyyy-mm")</f>
        <v/>
      </c>
      <c r="D183" s="20" t="n">
        <v>3.769524</v>
      </c>
      <c r="E183" s="20" t="n">
        <v>3.7707</v>
      </c>
      <c r="F183" s="20" t="n">
        <v>3.769524</v>
      </c>
      <c r="G183" s="20" t="n">
        <v>3.773048</v>
      </c>
      <c r="H183" s="20" t="n">
        <v>3.825974</v>
      </c>
      <c r="I183" s="20" t="n">
        <v>3.812106</v>
      </c>
      <c r="J183" s="20" t="n">
        <v>3.834358</v>
      </c>
      <c r="K183" s="20" t="n">
        <v>3.909272</v>
      </c>
      <c r="L183" s="20" t="n">
        <v>3.989144</v>
      </c>
      <c r="M183" s="20" t="n">
        <v>4.007928</v>
      </c>
      <c r="N183" s="20" t="n">
        <v>3.857132</v>
      </c>
      <c r="O183" s="20" t="n">
        <v>3.872838</v>
      </c>
      <c r="P183" s="20" t="n">
        <v>3.911258</v>
      </c>
      <c r="Q183" s="20" t="n">
        <v>3.898964</v>
      </c>
      <c r="R183" s="20" t="n">
        <v>3.865946</v>
      </c>
      <c r="S183" s="20" t="n">
        <v>3.888012</v>
      </c>
      <c r="T183" s="23">
        <f>IFERROR(AVERAGE(D183:S183),"")</f>
        <v/>
      </c>
    </row>
    <row r="184">
      <c r="A184" s="22" t="n">
        <v>44676</v>
      </c>
      <c r="B184" s="22" t="n">
        <v>44680</v>
      </c>
      <c r="C184">
        <f>TEXT(A184,"yyyy-mm")</f>
        <v/>
      </c>
      <c r="D184" s="20" t="n">
        <v>3.923884</v>
      </c>
      <c r="E184" s="20" t="n">
        <v>3.925</v>
      </c>
      <c r="F184" s="20" t="n">
        <v>3.923884</v>
      </c>
      <c r="G184" s="20" t="n">
        <v>3.927236</v>
      </c>
      <c r="H184" s="20" t="n">
        <v>3.971072</v>
      </c>
      <c r="I184" s="20" t="n">
        <v>3.956992</v>
      </c>
      <c r="J184" s="20" t="n">
        <v>3.979184</v>
      </c>
      <c r="K184" s="20" t="n">
        <v>4.071260000000001</v>
      </c>
      <c r="L184" s="20" t="n">
        <v>4.143152</v>
      </c>
      <c r="M184" s="20" t="n">
        <v>4.162962</v>
      </c>
      <c r="N184" s="20" t="n">
        <v>4.003932</v>
      </c>
      <c r="O184" s="20" t="n">
        <v>4.02049</v>
      </c>
      <c r="P184" s="20" t="n">
        <v>4.061012</v>
      </c>
      <c r="Q184" s="20" t="n">
        <v>4.048048</v>
      </c>
      <c r="R184" s="20" t="n">
        <v>4.013774</v>
      </c>
      <c r="S184" s="20" t="n">
        <v>4.035772</v>
      </c>
      <c r="T184" s="23">
        <f>IFERROR(AVERAGE(D184:S184),"")</f>
        <v/>
      </c>
    </row>
    <row r="185">
      <c r="A185" s="22" t="n">
        <v>44683</v>
      </c>
      <c r="B185" s="22" t="n">
        <v>44687</v>
      </c>
      <c r="C185">
        <f>TEXT(A185,"yyyy-mm")</f>
        <v/>
      </c>
      <c r="D185" s="20" t="n">
        <v>4.294798</v>
      </c>
      <c r="E185" s="20" t="n">
        <v>4.292012</v>
      </c>
      <c r="F185" s="20" t="n">
        <v>4.287986</v>
      </c>
      <c r="G185" s="20" t="n">
        <v>4.295076</v>
      </c>
      <c r="H185" s="20" t="n">
        <v>4.299816</v>
      </c>
      <c r="I185" s="20" t="n">
        <v>4.285234</v>
      </c>
      <c r="J185" s="20" t="n">
        <v>4.311696</v>
      </c>
      <c r="K185" s="20" t="n">
        <v>4.438242</v>
      </c>
      <c r="L185" s="20" t="n">
        <v>4.475256</v>
      </c>
      <c r="M185" s="20" t="n">
        <v>4.495456</v>
      </c>
      <c r="N185" s="20" t="n">
        <v>4.333316</v>
      </c>
      <c r="O185" s="20" t="n">
        <v>4.350204</v>
      </c>
      <c r="P185" s="20" t="n">
        <v>4.391514</v>
      </c>
      <c r="Q185" s="20" t="n">
        <v>4.378296000000001</v>
      </c>
      <c r="R185" s="20" t="n">
        <v>4.343126</v>
      </c>
      <c r="S185" s="20" t="n">
        <v>4.369386</v>
      </c>
      <c r="T185" s="23">
        <f>IFERROR(AVERAGE(D185:S185),"")</f>
        <v/>
      </c>
    </row>
    <row r="186">
      <c r="A186" s="22" t="n">
        <v>44690</v>
      </c>
      <c r="B186" s="22" t="n">
        <v>44694</v>
      </c>
      <c r="C186">
        <f>TEXT(A186,"yyyy-mm")</f>
        <v/>
      </c>
      <c r="D186" s="20" t="n">
        <v>4.571537999999999</v>
      </c>
      <c r="E186" s="20" t="n">
        <v>4.569319999999999</v>
      </c>
      <c r="F186" s="20" t="n">
        <v>4.565823999999999</v>
      </c>
      <c r="G186" s="20" t="n">
        <v>4.572127999999999</v>
      </c>
      <c r="H186" s="20" t="n">
        <v>4.576572000000001</v>
      </c>
      <c r="I186" s="20" t="n">
        <v>4.561924</v>
      </c>
      <c r="J186" s="20" t="n">
        <v>4.587482</v>
      </c>
      <c r="K186" s="20" t="n">
        <v>4.718676</v>
      </c>
      <c r="L186" s="20" t="n">
        <v>4.75504</v>
      </c>
      <c r="M186" s="20" t="n">
        <v>4.775588</v>
      </c>
      <c r="N186" s="20" t="n">
        <v>4.610652</v>
      </c>
      <c r="O186" s="20" t="n">
        <v>4.62783</v>
      </c>
      <c r="P186" s="20" t="n">
        <v>4.669855999999999</v>
      </c>
      <c r="Q186" s="20" t="n">
        <v>4.656406</v>
      </c>
      <c r="R186" s="20" t="n">
        <v>4.620818</v>
      </c>
      <c r="S186" s="20" t="n">
        <v>4.646162</v>
      </c>
      <c r="T186" s="23">
        <f>IFERROR(AVERAGE(D186:S186),"")</f>
        <v/>
      </c>
    </row>
    <row r="187">
      <c r="A187" s="22" t="n">
        <v>44697</v>
      </c>
      <c r="B187" s="22" t="n">
        <v>44701</v>
      </c>
      <c r="C187">
        <f>TEXT(A187,"yyyy-mm")</f>
        <v/>
      </c>
      <c r="D187" s="20" t="n">
        <v>4.714090000000001</v>
      </c>
      <c r="E187" s="20" t="n">
        <v>4.711698</v>
      </c>
      <c r="F187" s="20" t="n">
        <v>4.707224</v>
      </c>
      <c r="G187" s="20" t="n">
        <v>4.715634</v>
      </c>
      <c r="H187" s="20" t="n">
        <v>4.722108</v>
      </c>
      <c r="I187" s="20" t="n">
        <v>4.707529999999999</v>
      </c>
      <c r="J187" s="20" t="n">
        <v>4.737468</v>
      </c>
      <c r="K187" s="20" t="n">
        <v>4.85514</v>
      </c>
      <c r="L187" s="20" t="n">
        <v>4.894816</v>
      </c>
      <c r="M187" s="20" t="n">
        <v>4.9147</v>
      </c>
      <c r="N187" s="20" t="n">
        <v>4.755084</v>
      </c>
      <c r="O187" s="20" t="n">
        <v>4.77171</v>
      </c>
      <c r="P187" s="20" t="n">
        <v>4.812376</v>
      </c>
      <c r="Q187" s="20" t="n">
        <v>4.799364</v>
      </c>
      <c r="R187" s="20" t="n">
        <v>4.764522</v>
      </c>
      <c r="S187" s="20" t="n">
        <v>4.794256000000001</v>
      </c>
      <c r="T187" s="23">
        <f>IFERROR(AVERAGE(D187:S187),"")</f>
        <v/>
      </c>
    </row>
    <row r="188">
      <c r="A188" s="22" t="n">
        <v>44704</v>
      </c>
      <c r="B188" s="22" t="n">
        <v>44708</v>
      </c>
      <c r="C188">
        <f>TEXT(A188,"yyyy-mm")</f>
        <v/>
      </c>
      <c r="D188" s="20" t="n">
        <v>4.450729999999999</v>
      </c>
      <c r="E188" s="20" t="n">
        <v>4.447618</v>
      </c>
      <c r="F188" s="20" t="n">
        <v>4.442392</v>
      </c>
      <c r="G188" s="20" t="n">
        <v>4.45196</v>
      </c>
      <c r="H188" s="20" t="n">
        <v>4.458942</v>
      </c>
      <c r="I188" s="20" t="n">
        <v>4.444458</v>
      </c>
      <c r="J188" s="20" t="n">
        <v>4.47585</v>
      </c>
      <c r="K188" s="20" t="n">
        <v>4.585515999999999</v>
      </c>
      <c r="L188" s="20" t="n">
        <v>4.626052</v>
      </c>
      <c r="M188" s="20" t="n">
        <v>4.645294</v>
      </c>
      <c r="N188" s="20" t="n">
        <v>4.490854000000001</v>
      </c>
      <c r="O188" s="20" t="n">
        <v>4.506936</v>
      </c>
      <c r="P188" s="20" t="n">
        <v>4.546288</v>
      </c>
      <c r="Q188" s="20" t="n">
        <v>4.533694000000001</v>
      </c>
      <c r="R188" s="20" t="n">
        <v>4.4996</v>
      </c>
      <c r="S188" s="20" t="n">
        <v>4.530798</v>
      </c>
      <c r="T188" s="23">
        <f>IFERROR(AVERAGE(D188:S188),"")</f>
        <v/>
      </c>
    </row>
    <row r="189">
      <c r="A189" s="22" t="n">
        <v>44711</v>
      </c>
      <c r="B189" s="22" t="n">
        <v>44715</v>
      </c>
      <c r="C189">
        <f>TEXT(A189,"yyyy-mm")</f>
        <v/>
      </c>
      <c r="D189" s="20" t="n">
        <v>4.640005</v>
      </c>
      <c r="E189" s="20" t="n">
        <v>4.636963</v>
      </c>
      <c r="F189" s="20" t="n">
        <v>4.631835</v>
      </c>
      <c r="G189" s="20" t="n">
        <v>4.641220000000001</v>
      </c>
      <c r="H189" s="20" t="n">
        <v>4.648073</v>
      </c>
      <c r="I189" s="20" t="n">
        <v>4.633575</v>
      </c>
      <c r="J189" s="20" t="n">
        <v>4.664658</v>
      </c>
      <c r="K189" s="20" t="n">
        <v>4.774778</v>
      </c>
      <c r="L189" s="20" t="n">
        <v>4.814970000000001</v>
      </c>
      <c r="M189" s="20" t="n">
        <v>4.834188</v>
      </c>
      <c r="N189" s="20" t="n">
        <v>4.679939999999999</v>
      </c>
      <c r="O189" s="20" t="n">
        <v>4.696005</v>
      </c>
      <c r="P189" s="20" t="n">
        <v>4.735305</v>
      </c>
      <c r="Q189" s="20" t="n">
        <v>4.722729999999999</v>
      </c>
      <c r="R189" s="20" t="n">
        <v>4.68865</v>
      </c>
      <c r="S189" s="20" t="n">
        <v>4.719537999999999</v>
      </c>
      <c r="T189" s="23">
        <f>IFERROR(AVERAGE(D189:S189),"")</f>
        <v/>
      </c>
    </row>
    <row r="190">
      <c r="A190" s="22" t="n">
        <v>44718</v>
      </c>
      <c r="B190" s="22" t="n">
        <v>44722</v>
      </c>
      <c r="C190">
        <f>TEXT(A190,"yyyy-mm")</f>
        <v/>
      </c>
      <c r="D190" s="20" t="n">
        <v>4.894786</v>
      </c>
      <c r="E190" s="20" t="n">
        <v>4.89236</v>
      </c>
      <c r="F190" s="20" t="n">
        <v>4.8884</v>
      </c>
      <c r="G190" s="20" t="n">
        <v>4.895608</v>
      </c>
      <c r="H190" s="20" t="n">
        <v>4.9008</v>
      </c>
      <c r="I190" s="20" t="n">
        <v>4.886194000000001</v>
      </c>
      <c r="J190" s="20" t="n">
        <v>4.913436</v>
      </c>
      <c r="K190" s="20" t="n">
        <v>5.034248</v>
      </c>
      <c r="L190" s="20" t="n">
        <v>5.071091999999999</v>
      </c>
      <c r="M190" s="20" t="n">
        <v>5.090696</v>
      </c>
      <c r="N190" s="20" t="n">
        <v>4.933314</v>
      </c>
      <c r="O190" s="20" t="n">
        <v>4.949707999999999</v>
      </c>
      <c r="P190" s="20" t="n">
        <v>4.989808</v>
      </c>
      <c r="Q190" s="20" t="n">
        <v>4.976976</v>
      </c>
      <c r="R190" s="20" t="n">
        <v>4.942386000000001</v>
      </c>
      <c r="S190" s="20" t="n">
        <v>4.969431999999999</v>
      </c>
      <c r="T190" s="23">
        <f>IFERROR(AVERAGE(D190:S190),"")</f>
        <v/>
      </c>
    </row>
    <row r="191">
      <c r="A191" s="22" t="n">
        <v>44725</v>
      </c>
      <c r="B191" s="22" t="n">
        <v>44729</v>
      </c>
      <c r="C191">
        <f>TEXT(A191,"yyyy-mm")</f>
        <v/>
      </c>
      <c r="D191" s="20" t="n">
        <v>4.577586</v>
      </c>
      <c r="E191" s="20" t="n">
        <v>4.57502</v>
      </c>
      <c r="F191" s="20" t="n">
        <v>4.570968</v>
      </c>
      <c r="G191" s="20" t="n">
        <v>4.578284</v>
      </c>
      <c r="H191" s="20" t="n">
        <v>4.583462000000001</v>
      </c>
      <c r="I191" s="20" t="n">
        <v>4.568874</v>
      </c>
      <c r="J191" s="20" t="n">
        <v>4.596156</v>
      </c>
      <c r="K191" s="20" t="n">
        <v>4.723448</v>
      </c>
      <c r="L191" s="20" t="n">
        <v>4.761502</v>
      </c>
      <c r="M191" s="20" t="n">
        <v>4.782</v>
      </c>
      <c r="N191" s="20" t="n">
        <v>4.61746</v>
      </c>
      <c r="O191" s="20" t="n">
        <v>4.634595999999999</v>
      </c>
      <c r="P191" s="20" t="n">
        <v>4.676518</v>
      </c>
      <c r="Q191" s="20" t="n">
        <v>4.663106</v>
      </c>
      <c r="R191" s="20" t="n">
        <v>4.627622000000001</v>
      </c>
      <c r="S191" s="20" t="n">
        <v>4.654696</v>
      </c>
      <c r="T191" s="23">
        <f>IFERROR(AVERAGE(D191:S191),"")</f>
        <v/>
      </c>
    </row>
    <row r="192">
      <c r="A192" s="22" t="n">
        <v>44732</v>
      </c>
      <c r="B192" s="22" t="n">
        <v>44736</v>
      </c>
      <c r="C192">
        <f>TEXT(A192,"yyyy-mm")</f>
        <v/>
      </c>
      <c r="D192" s="20" t="n">
        <v>4.457938</v>
      </c>
      <c r="E192" s="20" t="n">
        <v>4.454775</v>
      </c>
      <c r="F192" s="20" t="n">
        <v>4.449668</v>
      </c>
      <c r="G192" s="20" t="n">
        <v>4.458928</v>
      </c>
      <c r="H192" s="20" t="n">
        <v>4.465535</v>
      </c>
      <c r="I192" s="20" t="n">
        <v>4.451045</v>
      </c>
      <c r="J192" s="20" t="n">
        <v>4.481678</v>
      </c>
      <c r="K192" s="20" t="n">
        <v>4.604685000000001</v>
      </c>
      <c r="L192" s="20" t="n">
        <v>4.646535</v>
      </c>
      <c r="M192" s="20" t="n">
        <v>4.66737</v>
      </c>
      <c r="N192" s="20" t="n">
        <v>4.500098</v>
      </c>
      <c r="O192" s="20" t="n">
        <v>4.51752</v>
      </c>
      <c r="P192" s="20" t="n">
        <v>4.560140000000001</v>
      </c>
      <c r="Q192" s="20" t="n">
        <v>4.5465</v>
      </c>
      <c r="R192" s="20" t="n">
        <v>4.510773</v>
      </c>
      <c r="S192" s="20" t="n">
        <v>4.541189999999999</v>
      </c>
      <c r="T192" s="23">
        <f>IFERROR(AVERAGE(D192:S192),"")</f>
        <v/>
      </c>
    </row>
    <row r="193">
      <c r="A193" s="22" t="n">
        <v>44739</v>
      </c>
      <c r="B193" s="22" t="n">
        <v>44743</v>
      </c>
      <c r="C193">
        <f>TEXT(A193,"yyyy-mm")</f>
        <v/>
      </c>
      <c r="D193" s="20" t="n">
        <v>4.389262</v>
      </c>
      <c r="E193" s="20" t="n">
        <v>4.385992</v>
      </c>
      <c r="F193" s="20" t="n">
        <v>4.380376</v>
      </c>
      <c r="G193" s="20" t="n">
        <v>4.390721999999999</v>
      </c>
      <c r="H193" s="20" t="n">
        <v>4.398364</v>
      </c>
      <c r="I193" s="20" t="n">
        <v>4.383912</v>
      </c>
      <c r="J193" s="20" t="n">
        <v>4.416786</v>
      </c>
      <c r="K193" s="20" t="n">
        <v>4.536878</v>
      </c>
      <c r="L193" s="20" t="n">
        <v>4.581096</v>
      </c>
      <c r="M193" s="20" t="n">
        <v>4.602134</v>
      </c>
      <c r="N193" s="20" t="n">
        <v>4.433260000000001</v>
      </c>
      <c r="O193" s="20" t="n">
        <v>4.450848</v>
      </c>
      <c r="P193" s="20" t="n">
        <v>4.493874</v>
      </c>
      <c r="Q193" s="20" t="n">
        <v>4.480104</v>
      </c>
      <c r="R193" s="20" t="n">
        <v>4.44421</v>
      </c>
      <c r="S193" s="20" t="n">
        <v>4.476872</v>
      </c>
      <c r="T193" s="23">
        <f>IFERROR(AVERAGE(D193:S193),"")</f>
        <v/>
      </c>
    </row>
    <row r="194">
      <c r="A194" s="22" t="n">
        <v>44746</v>
      </c>
      <c r="B194" s="22" t="n">
        <v>44750</v>
      </c>
      <c r="C194">
        <f>TEXT(A194,"yyyy-mm")</f>
        <v/>
      </c>
      <c r="D194" s="20" t="n">
        <v>4.029378</v>
      </c>
      <c r="E194" s="20" t="n">
        <v>4.026288</v>
      </c>
      <c r="F194" s="20" t="n">
        <v>4.021034999999999</v>
      </c>
      <c r="G194" s="20" t="n">
        <v>4.030698</v>
      </c>
      <c r="H194" s="20" t="n">
        <v>4.037815</v>
      </c>
      <c r="I194" s="20" t="n">
        <v>4.02333</v>
      </c>
      <c r="J194" s="20" t="n">
        <v>4.054993</v>
      </c>
      <c r="K194" s="20" t="n">
        <v>4.181388</v>
      </c>
      <c r="L194" s="20" t="n">
        <v>4.225045</v>
      </c>
      <c r="M194" s="20" t="n">
        <v>4.246598</v>
      </c>
      <c r="N194" s="20" t="n">
        <v>4.073568</v>
      </c>
      <c r="O194" s="20" t="n">
        <v>4.09159</v>
      </c>
      <c r="P194" s="20" t="n">
        <v>4.135678</v>
      </c>
      <c r="Q194" s="20" t="n">
        <v>4.121569999999999</v>
      </c>
      <c r="R194" s="20" t="n">
        <v>4.08511</v>
      </c>
      <c r="S194" s="20" t="n">
        <v>4.116555</v>
      </c>
      <c r="T194" s="23">
        <f>IFERROR(AVERAGE(D194:S194),"")</f>
        <v/>
      </c>
    </row>
    <row r="195">
      <c r="A195" s="22" t="n">
        <v>44753</v>
      </c>
      <c r="B195" s="22" t="n">
        <v>44757</v>
      </c>
      <c r="C195">
        <f>TEXT(A195,"yyyy-mm")</f>
        <v/>
      </c>
      <c r="D195" s="20" t="n">
        <v>3.921822</v>
      </c>
      <c r="E195" s="20" t="n">
        <v>3.919048</v>
      </c>
      <c r="F195" s="20" t="n">
        <v>3.91438</v>
      </c>
      <c r="G195" s="20" t="n">
        <v>3.922934</v>
      </c>
      <c r="H195" s="20" t="n">
        <v>3.92919</v>
      </c>
      <c r="I195" s="20" t="n">
        <v>3.914652</v>
      </c>
      <c r="J195" s="20" t="n">
        <v>3.94433</v>
      </c>
      <c r="K195" s="20" t="n">
        <v>4.075744</v>
      </c>
      <c r="L195" s="20" t="n">
        <v>4.1176</v>
      </c>
      <c r="M195" s="20" t="n">
        <v>4.139292</v>
      </c>
      <c r="N195" s="20" t="n">
        <v>3.965168</v>
      </c>
      <c r="O195" s="20" t="n">
        <v>3.983304</v>
      </c>
      <c r="P195" s="20" t="n">
        <v>4.02767</v>
      </c>
      <c r="Q195" s="20" t="n">
        <v>4.013474</v>
      </c>
      <c r="R195" s="20" t="n">
        <v>3.976822</v>
      </c>
      <c r="S195" s="20" t="n">
        <v>4.00628</v>
      </c>
      <c r="T195" s="23">
        <f>IFERROR(AVERAGE(D195:S195),"")</f>
        <v/>
      </c>
    </row>
    <row r="196">
      <c r="A196" s="22" t="n">
        <v>44760</v>
      </c>
      <c r="B196" s="22" t="n">
        <v>44764</v>
      </c>
      <c r="C196">
        <f>TEXT(A196,"yyyy-mm")</f>
        <v/>
      </c>
      <c r="D196" s="20" t="n">
        <v>3.850518</v>
      </c>
      <c r="E196" s="20" t="n">
        <v>3.847686</v>
      </c>
      <c r="F196" s="20" t="n">
        <v>3.842762</v>
      </c>
      <c r="G196" s="20" t="n">
        <v>3.851862</v>
      </c>
      <c r="H196" s="20" t="n">
        <v>3.858636</v>
      </c>
      <c r="I196" s="20" t="n">
        <v>3.844116</v>
      </c>
      <c r="J196" s="20" t="n">
        <v>3.874916</v>
      </c>
      <c r="K196" s="20" t="n">
        <v>4.005638</v>
      </c>
      <c r="L196" s="20" t="n">
        <v>4.048812</v>
      </c>
      <c r="M196" s="20" t="n">
        <v>4.07071</v>
      </c>
      <c r="N196" s="20" t="n">
        <v>3.894952</v>
      </c>
      <c r="O196" s="20" t="n">
        <v>3.913256</v>
      </c>
      <c r="P196" s="20" t="n">
        <v>3.958036</v>
      </c>
      <c r="Q196" s="20" t="n">
        <v>3.943708</v>
      </c>
      <c r="R196" s="20" t="n">
        <v>3.90687</v>
      </c>
      <c r="S196" s="20" t="n">
        <v>3.937448</v>
      </c>
      <c r="T196" s="23">
        <f>IFERROR(AVERAGE(D196:S196),"")</f>
        <v/>
      </c>
    </row>
    <row r="197">
      <c r="A197" s="22" t="n">
        <v>44767</v>
      </c>
      <c r="B197" s="22" t="n">
        <v>44771</v>
      </c>
      <c r="C197">
        <f>TEXT(A197,"yyyy-mm")</f>
        <v/>
      </c>
      <c r="D197" s="20" t="n">
        <v>3.745984</v>
      </c>
      <c r="E197" s="20" t="n">
        <v>3.74269</v>
      </c>
      <c r="F197" s="20" t="n">
        <v>3.736576</v>
      </c>
      <c r="G197" s="20" t="n">
        <v>3.748026</v>
      </c>
      <c r="H197" s="20" t="n">
        <v>3.75678</v>
      </c>
      <c r="I197" s="20" t="n">
        <v>3.742362</v>
      </c>
      <c r="J197" s="20" t="n">
        <v>3.777606</v>
      </c>
      <c r="K197" s="20" t="n">
        <v>3.894504</v>
      </c>
      <c r="L197" s="20" t="n">
        <v>3.941184</v>
      </c>
      <c r="M197" s="20" t="n">
        <v>3.962414</v>
      </c>
      <c r="N197" s="20" t="n">
        <v>3.791992</v>
      </c>
      <c r="O197" s="20" t="n">
        <v>3.809742</v>
      </c>
      <c r="P197" s="20" t="n">
        <v>3.853162</v>
      </c>
      <c r="Q197" s="20" t="n">
        <v>3.83927</v>
      </c>
      <c r="R197" s="20" t="n">
        <v>3.80321</v>
      </c>
      <c r="S197" s="20" t="n">
        <v>3.83824</v>
      </c>
      <c r="T197" s="23">
        <f>IFERROR(AVERAGE(D197:S197),"")</f>
        <v/>
      </c>
    </row>
    <row r="198">
      <c r="A198" s="22" t="n">
        <v>44774</v>
      </c>
      <c r="B198" s="22" t="n">
        <v>44778</v>
      </c>
      <c r="C198">
        <f>TEXT(A198,"yyyy-mm")</f>
        <v/>
      </c>
      <c r="D198" s="20" t="n">
        <v>3.65234</v>
      </c>
      <c r="E198" s="20" t="n">
        <v>3.648388</v>
      </c>
      <c r="F198" s="20" t="n">
        <v>3.64081</v>
      </c>
      <c r="G198" s="20" t="n">
        <v>3.655092</v>
      </c>
      <c r="H198" s="20" t="n">
        <v>3.666144</v>
      </c>
      <c r="I198" s="20" t="n">
        <v>3.651858</v>
      </c>
      <c r="J198" s="20" t="n">
        <v>3.692318</v>
      </c>
      <c r="K198" s="20" t="n">
        <v>3.796834</v>
      </c>
      <c r="L198" s="20" t="n">
        <v>3.848318</v>
      </c>
      <c r="M198" s="20" t="n">
        <v>3.869292</v>
      </c>
      <c r="N198" s="20" t="n">
        <v>3.70093</v>
      </c>
      <c r="O198" s="20" t="n">
        <v>3.718466</v>
      </c>
      <c r="P198" s="20" t="n">
        <v>3.761364</v>
      </c>
      <c r="Q198" s="20" t="n">
        <v>3.747636</v>
      </c>
      <c r="R198" s="20" t="n">
        <v>3.711972</v>
      </c>
      <c r="S198" s="20" t="n">
        <v>3.75222</v>
      </c>
      <c r="T198" s="23">
        <f>IFERROR(AVERAGE(D198:S198),"")</f>
        <v/>
      </c>
    </row>
    <row r="199">
      <c r="A199" s="22" t="n">
        <v>44781</v>
      </c>
      <c r="B199" s="22" t="n">
        <v>44785</v>
      </c>
      <c r="C199">
        <f>TEXT(A199,"yyyy-mm")</f>
        <v/>
      </c>
      <c r="D199" s="20" t="n">
        <v>3.49371</v>
      </c>
      <c r="E199" s="20" t="n">
        <v>3.490892</v>
      </c>
      <c r="F199" s="20" t="n">
        <v>3.4858</v>
      </c>
      <c r="G199" s="20" t="n">
        <v>3.495278</v>
      </c>
      <c r="H199" s="20" t="n">
        <v>3.502432</v>
      </c>
      <c r="I199" s="20" t="n">
        <v>3.48792</v>
      </c>
      <c r="J199" s="20" t="n">
        <v>3.519532</v>
      </c>
      <c r="K199" s="20" t="n">
        <v>3.638658</v>
      </c>
      <c r="L199" s="20" t="n">
        <v>3.68091</v>
      </c>
      <c r="M199" s="20" t="n">
        <v>3.70146</v>
      </c>
      <c r="N199" s="20" t="n">
        <v>3.536512</v>
      </c>
      <c r="O199" s="20" t="n">
        <v>3.553692</v>
      </c>
      <c r="P199" s="20" t="n">
        <v>3.595716</v>
      </c>
      <c r="Q199" s="20" t="n">
        <v>3.58227</v>
      </c>
      <c r="R199" s="20" t="n">
        <v>3.546816</v>
      </c>
      <c r="S199" s="20" t="n">
        <v>3.578218</v>
      </c>
      <c r="T199" s="23">
        <f>IFERROR(AVERAGE(D199:S199),"")</f>
        <v/>
      </c>
    </row>
    <row r="200">
      <c r="A200" s="22" t="n">
        <v>44788</v>
      </c>
      <c r="B200" s="22" t="n">
        <v>44792</v>
      </c>
      <c r="C200">
        <f>TEXT(A200,"yyyy-mm")</f>
        <v/>
      </c>
      <c r="D200" s="20" t="n">
        <v>3.489564</v>
      </c>
      <c r="E200" s="20" t="n">
        <v>3.487618</v>
      </c>
      <c r="F200" s="20" t="n">
        <v>3.484234</v>
      </c>
      <c r="G200" s="20" t="n">
        <v>3.490484</v>
      </c>
      <c r="H200" s="20" t="n">
        <v>3.495126</v>
      </c>
      <c r="I200" s="20" t="n">
        <v>3.480454</v>
      </c>
      <c r="J200" s="20" t="n">
        <v>3.50629</v>
      </c>
      <c r="K200" s="20" t="n">
        <v>3.638214</v>
      </c>
      <c r="L200" s="20" t="n">
        <v>3.674914</v>
      </c>
      <c r="M200" s="20" t="n">
        <v>3.695614</v>
      </c>
      <c r="N200" s="20" t="n">
        <v>3.529458</v>
      </c>
      <c r="O200" s="20" t="n">
        <v>3.546764</v>
      </c>
      <c r="P200" s="20" t="n">
        <v>3.589096</v>
      </c>
      <c r="Q200" s="20" t="n">
        <v>3.57555</v>
      </c>
      <c r="R200" s="20" t="n">
        <v>3.539782</v>
      </c>
      <c r="S200" s="20" t="n">
        <v>3.565408</v>
      </c>
      <c r="T200" s="23">
        <f>IFERROR(AVERAGE(D200:S200),"")</f>
        <v/>
      </c>
    </row>
    <row r="201">
      <c r="A201" s="22" t="n">
        <v>44795</v>
      </c>
      <c r="B201" s="22" t="n">
        <v>44799</v>
      </c>
      <c r="C201">
        <f>TEXT(A201,"yyyy-mm")</f>
        <v/>
      </c>
      <c r="D201" s="20" t="n">
        <v>3.400152</v>
      </c>
      <c r="E201" s="20" t="n">
        <v>3.398206</v>
      </c>
      <c r="F201" s="20" t="n">
        <v>3.394882</v>
      </c>
      <c r="G201" s="20" t="n">
        <v>3.40099</v>
      </c>
      <c r="H201" s="20" t="n">
        <v>3.405488</v>
      </c>
      <c r="I201" s="20" t="n">
        <v>3.390812</v>
      </c>
      <c r="J201" s="20" t="n">
        <v>3.416336</v>
      </c>
      <c r="K201" s="20" t="n">
        <v>3.547664</v>
      </c>
      <c r="L201" s="20" t="n">
        <v>3.583872</v>
      </c>
      <c r="M201" s="20" t="n">
        <v>3.60441</v>
      </c>
      <c r="N201" s="20" t="n">
        <v>3.439548</v>
      </c>
      <c r="O201" s="20" t="n">
        <v>3.456722</v>
      </c>
      <c r="P201" s="20" t="n">
        <v>3.498724</v>
      </c>
      <c r="Q201" s="20" t="n">
        <v>3.485284</v>
      </c>
      <c r="R201" s="20" t="n">
        <v>3.449674</v>
      </c>
      <c r="S201" s="20" t="n">
        <v>3.474994</v>
      </c>
      <c r="T201" s="23">
        <f>IFERROR(AVERAGE(D201:S201),"")</f>
        <v/>
      </c>
    </row>
    <row r="202">
      <c r="A202" s="22" t="n">
        <v>44802</v>
      </c>
      <c r="B202" s="22" t="n">
        <v>44806</v>
      </c>
      <c r="C202">
        <f>TEXT(A202,"yyyy-mm")</f>
        <v/>
      </c>
      <c r="D202" s="20" t="n">
        <v>3.09847</v>
      </c>
      <c r="E202" s="20" t="n">
        <v>3.096556</v>
      </c>
      <c r="F202" s="20" t="n">
        <v>3.093374</v>
      </c>
      <c r="G202" s="20" t="n">
        <v>3.09919</v>
      </c>
      <c r="H202" s="20" t="n">
        <v>3.103422</v>
      </c>
      <c r="I202" s="20" t="n">
        <v>3.088738</v>
      </c>
      <c r="J202" s="20" t="n">
        <v>3.11368</v>
      </c>
      <c r="K202" s="20" t="n">
        <v>3.247088</v>
      </c>
      <c r="L202" s="20" t="n">
        <v>3.282904</v>
      </c>
      <c r="M202" s="20" t="n">
        <v>3.30357</v>
      </c>
      <c r="N202" s="20" t="n">
        <v>3.137696</v>
      </c>
      <c r="O202" s="20" t="n">
        <v>3.154972</v>
      </c>
      <c r="P202" s="20" t="n">
        <v>3.197232</v>
      </c>
      <c r="Q202" s="20" t="n">
        <v>3.183712</v>
      </c>
      <c r="R202" s="20" t="n">
        <v>3.147964</v>
      </c>
      <c r="S202" s="20" t="n">
        <v>3.172698</v>
      </c>
      <c r="T202" s="23">
        <f>IFERROR(AVERAGE(D202:S202),"")</f>
        <v/>
      </c>
    </row>
    <row r="203">
      <c r="A203" s="22" t="n">
        <v>44809</v>
      </c>
      <c r="B203" s="22" t="n">
        <v>44813</v>
      </c>
      <c r="C203">
        <f>TEXT(A203,"yyyy-mm")</f>
        <v/>
      </c>
      <c r="D203" s="20" t="n">
        <v>2.910898</v>
      </c>
      <c r="E203" s="20" t="n">
        <v>2.908798</v>
      </c>
      <c r="F203" s="20" t="n">
        <v>2.904165</v>
      </c>
      <c r="G203" s="20" t="n">
        <v>2.913135</v>
      </c>
      <c r="H203" s="20" t="n">
        <v>2.92044</v>
      </c>
      <c r="I203" s="20" t="n">
        <v>2.905855</v>
      </c>
      <c r="J203" s="20" t="n">
        <v>2.93742</v>
      </c>
      <c r="K203" s="20" t="n">
        <v>3.05991</v>
      </c>
      <c r="L203" s="20" t="n">
        <v>3.10229</v>
      </c>
      <c r="M203" s="20" t="n">
        <v>3.123223</v>
      </c>
      <c r="N203" s="20" t="n">
        <v>2.955165</v>
      </c>
      <c r="O203" s="20" t="n">
        <v>2.97267</v>
      </c>
      <c r="P203" s="20" t="n">
        <v>3.01549</v>
      </c>
      <c r="Q203" s="20" t="n">
        <v>3.001788</v>
      </c>
      <c r="R203" s="20" t="n">
        <v>2.965863</v>
      </c>
      <c r="S203" s="20" t="n">
        <v>2.997218</v>
      </c>
      <c r="T203" s="23">
        <f>IFERROR(AVERAGE(D203:S203),"")</f>
        <v/>
      </c>
    </row>
    <row r="204">
      <c r="A204" s="22" t="n">
        <v>44816</v>
      </c>
      <c r="B204" s="22" t="n">
        <v>44820</v>
      </c>
      <c r="C204">
        <f>TEXT(A204,"yyyy-mm")</f>
        <v/>
      </c>
      <c r="D204" s="20" t="n">
        <v>3.00859</v>
      </c>
      <c r="E204" s="20" t="n">
        <v>3.005462</v>
      </c>
      <c r="F204" s="20" t="n">
        <v>2.999326</v>
      </c>
      <c r="G204" s="20" t="n">
        <v>3.010954</v>
      </c>
      <c r="H204" s="20" t="n">
        <v>3.02005</v>
      </c>
      <c r="I204" s="20" t="n">
        <v>3.005624</v>
      </c>
      <c r="J204" s="20" t="n">
        <v>3.041514</v>
      </c>
      <c r="K204" s="20" t="n">
        <v>3.15444</v>
      </c>
      <c r="L204" s="20" t="n">
        <v>3.201168</v>
      </c>
      <c r="M204" s="20" t="n">
        <v>3.222018</v>
      </c>
      <c r="N204" s="20" t="n">
        <v>3.054638</v>
      </c>
      <c r="O204" s="20" t="n">
        <v>3.07207</v>
      </c>
      <c r="P204" s="20" t="n">
        <v>3.114716</v>
      </c>
      <c r="Q204" s="20" t="n">
        <v>3.10107</v>
      </c>
      <c r="R204" s="20" t="n">
        <v>3.065388</v>
      </c>
      <c r="S204" s="20" t="n">
        <v>3.101068</v>
      </c>
      <c r="T204" s="23">
        <f>IFERROR(AVERAGE(D204:S204),"")</f>
        <v/>
      </c>
    </row>
    <row r="205">
      <c r="A205" s="22" t="n">
        <v>44823</v>
      </c>
      <c r="B205" s="22" t="n">
        <v>44827</v>
      </c>
      <c r="C205">
        <f>TEXT(A205,"yyyy-mm")</f>
        <v/>
      </c>
      <c r="D205" s="20" t="n">
        <v>2.971496</v>
      </c>
      <c r="E205" s="20" t="n">
        <v>2.96882</v>
      </c>
      <c r="F205" s="20" t="n">
        <v>2.963188</v>
      </c>
      <c r="G205" s="20" t="n">
        <v>2.973984</v>
      </c>
      <c r="H205" s="20" t="n">
        <v>2.982622</v>
      </c>
      <c r="I205" s="20" t="n">
        <v>2.968132</v>
      </c>
      <c r="J205" s="20" t="n">
        <v>3.002824</v>
      </c>
      <c r="K205" s="20" t="n">
        <v>3.117762</v>
      </c>
      <c r="L205" s="20" t="n">
        <v>3.1631</v>
      </c>
      <c r="M205" s="20" t="n">
        <v>3.183876</v>
      </c>
      <c r="N205" s="20" t="n">
        <v>3.017084</v>
      </c>
      <c r="O205" s="20" t="n">
        <v>3.034454</v>
      </c>
      <c r="P205" s="20" t="n">
        <v>3.076952</v>
      </c>
      <c r="Q205" s="20" t="n">
        <v>3.063354</v>
      </c>
      <c r="R205" s="20" t="n">
        <v>3.02769</v>
      </c>
      <c r="S205" s="20" t="n">
        <v>3.062168</v>
      </c>
      <c r="T205" s="23">
        <f>IFERROR(AVERAGE(D205:S205),"")</f>
        <v/>
      </c>
    </row>
    <row r="206">
      <c r="A206" s="22" t="n">
        <v>44830</v>
      </c>
      <c r="B206" s="22" t="n">
        <v>44834</v>
      </c>
      <c r="C206">
        <f>TEXT(A206,"yyyy-mm")</f>
        <v/>
      </c>
      <c r="D206" s="20" t="n">
        <v>3.093652</v>
      </c>
      <c r="E206" s="20" t="n">
        <v>3.090636</v>
      </c>
      <c r="F206" s="20" t="n">
        <v>3.084004</v>
      </c>
      <c r="G206" s="20" t="n">
        <v>3.096848</v>
      </c>
      <c r="H206" s="20" t="n">
        <v>3.107314</v>
      </c>
      <c r="I206" s="20" t="n">
        <v>3.092908</v>
      </c>
      <c r="J206" s="20" t="n">
        <v>3.131636</v>
      </c>
      <c r="K206" s="20" t="n">
        <v>3.244594</v>
      </c>
      <c r="L206" s="20" t="n">
        <v>3.29482</v>
      </c>
      <c r="M206" s="20" t="n">
        <v>3.31641</v>
      </c>
      <c r="N206" s="20" t="n">
        <v>3.14312</v>
      </c>
      <c r="O206" s="20" t="n">
        <v>3.161168</v>
      </c>
      <c r="P206" s="20" t="n">
        <v>3.205322</v>
      </c>
      <c r="Q206" s="20" t="n">
        <v>3.191192</v>
      </c>
      <c r="R206" s="20" t="n">
        <v>3.154782</v>
      </c>
      <c r="S206" s="20" t="n">
        <v>3.19329</v>
      </c>
      <c r="T206" s="23">
        <f>IFERROR(AVERAGE(D206:S206),"")</f>
        <v/>
      </c>
    </row>
    <row r="207">
      <c r="A207" s="22" t="n">
        <v>44837</v>
      </c>
      <c r="B207" s="22" t="n">
        <v>44841</v>
      </c>
      <c r="C207">
        <f>TEXT(A207,"yyyy-mm")</f>
        <v/>
      </c>
      <c r="D207" s="20" t="n">
        <v>3.284012</v>
      </c>
      <c r="E207" s="20" t="n">
        <v>3.281224</v>
      </c>
      <c r="F207" s="20" t="n">
        <v>3.27646</v>
      </c>
      <c r="G207" s="20" t="n">
        <v>3.285228</v>
      </c>
      <c r="H207" s="20" t="n">
        <v>3.291686</v>
      </c>
      <c r="I207" s="20" t="n">
        <v>3.277156</v>
      </c>
      <c r="J207" s="20" t="n">
        <v>3.307274</v>
      </c>
      <c r="K207" s="20" t="n">
        <v>3.431482</v>
      </c>
      <c r="L207" s="20" t="n">
        <v>3.472692</v>
      </c>
      <c r="M207" s="20" t="n">
        <v>3.493532</v>
      </c>
      <c r="N207" s="20" t="n">
        <v>3.326252</v>
      </c>
      <c r="O207" s="20" t="n">
        <v>3.343676</v>
      </c>
      <c r="P207" s="20" t="n">
        <v>3.386294</v>
      </c>
      <c r="Q207" s="20" t="n">
        <v>3.37266</v>
      </c>
      <c r="R207" s="20" t="n">
        <v>3.336884</v>
      </c>
      <c r="S207" s="20" t="n">
        <v>3.366792</v>
      </c>
      <c r="T207" s="23">
        <f>IFERROR(AVERAGE(D207:S207),"")</f>
        <v/>
      </c>
    </row>
    <row r="208">
      <c r="A208" s="22" t="n">
        <v>44844</v>
      </c>
      <c r="B208" s="22" t="n">
        <v>44848</v>
      </c>
      <c r="C208">
        <f>TEXT(A208,"yyyy-mm")</f>
        <v/>
      </c>
      <c r="D208" s="20" t="n">
        <v>3.3886</v>
      </c>
      <c r="E208" s="20" t="n">
        <v>3.386154</v>
      </c>
      <c r="F208" s="20" t="n">
        <v>3.381722</v>
      </c>
      <c r="G208" s="20" t="n">
        <v>3.38998</v>
      </c>
      <c r="H208" s="20" t="n">
        <v>3.396224</v>
      </c>
      <c r="I208" s="20" t="n">
        <v>3.38165</v>
      </c>
      <c r="J208" s="20" t="n">
        <v>3.411146</v>
      </c>
      <c r="K208" s="20" t="n">
        <v>3.538724</v>
      </c>
      <c r="L208" s="20" t="n">
        <v>3.579542</v>
      </c>
      <c r="M208" s="20" t="n">
        <v>3.60065</v>
      </c>
      <c r="N208" s="20" t="n">
        <v>3.431232</v>
      </c>
      <c r="O208" s="20" t="n">
        <v>3.448874</v>
      </c>
      <c r="P208" s="20" t="n">
        <v>3.492042</v>
      </c>
      <c r="Q208" s="20" t="n">
        <v>3.47823</v>
      </c>
      <c r="R208" s="20" t="n">
        <v>3.442142</v>
      </c>
      <c r="S208" s="20" t="n">
        <v>3.471424</v>
      </c>
      <c r="T208" s="23">
        <f>IFERROR(AVERAGE(D208:S208),"")</f>
        <v/>
      </c>
    </row>
    <row r="209">
      <c r="A209" s="22" t="n">
        <v>44851</v>
      </c>
      <c r="B209" s="22" t="n">
        <v>44855</v>
      </c>
      <c r="C209">
        <f>TEXT(A209,"yyyy-mm")</f>
        <v/>
      </c>
      <c r="D209" s="20" t="n">
        <v>3.320002</v>
      </c>
      <c r="E209" s="20" t="n">
        <v>3.317586</v>
      </c>
      <c r="F209" s="20" t="n">
        <v>3.312872</v>
      </c>
      <c r="G209" s="20" t="n">
        <v>3.321802</v>
      </c>
      <c r="H209" s="20" t="n">
        <v>3.328778</v>
      </c>
      <c r="I209" s="20" t="n">
        <v>3.314218</v>
      </c>
      <c r="J209" s="20" t="n">
        <v>3.345248</v>
      </c>
      <c r="K209" s="20" t="n">
        <v>3.469584</v>
      </c>
      <c r="L209" s="20" t="n">
        <v>3.51176</v>
      </c>
      <c r="M209" s="20" t="n">
        <v>3.532826</v>
      </c>
      <c r="N209" s="20" t="n">
        <v>3.36372</v>
      </c>
      <c r="O209" s="20" t="n">
        <v>3.381334</v>
      </c>
      <c r="P209" s="20" t="n">
        <v>3.424418</v>
      </c>
      <c r="Q209" s="20" t="n">
        <v>3.41063</v>
      </c>
      <c r="R209" s="20" t="n">
        <v>3.3746</v>
      </c>
      <c r="S209" s="20" t="n">
        <v>3.405414</v>
      </c>
      <c r="T209" s="23">
        <f>IFERROR(AVERAGE(D209:S209),"")</f>
        <v/>
      </c>
    </row>
    <row r="210">
      <c r="A210" s="22" t="n">
        <v>44858</v>
      </c>
      <c r="B210" s="22" t="n">
        <v>44862</v>
      </c>
      <c r="C210">
        <f>TEXT(A210,"yyyy-mm")</f>
        <v/>
      </c>
      <c r="D210" s="20" t="n">
        <v>3.567704</v>
      </c>
      <c r="E210" s="20" t="n">
        <v>3.565226</v>
      </c>
      <c r="F210" s="20" t="n">
        <v>3.560842</v>
      </c>
      <c r="G210" s="20" t="n">
        <v>3.568964</v>
      </c>
      <c r="H210" s="20" t="n">
        <v>3.575036</v>
      </c>
      <c r="I210" s="20" t="n">
        <v>3.56046</v>
      </c>
      <c r="J210" s="20" t="n">
        <v>3.589606</v>
      </c>
      <c r="K210" s="20" t="n">
        <v>3.719796</v>
      </c>
      <c r="L210" s="20" t="n">
        <v>3.760634</v>
      </c>
      <c r="M210" s="20" t="n">
        <v>3.782</v>
      </c>
      <c r="N210" s="20" t="n">
        <v>3.61048</v>
      </c>
      <c r="O210" s="20" t="n">
        <v>3.62834</v>
      </c>
      <c r="P210" s="20" t="n">
        <v>3.672044</v>
      </c>
      <c r="Q210" s="20" t="n">
        <v>3.65806</v>
      </c>
      <c r="R210" s="20" t="n">
        <v>3.621704</v>
      </c>
      <c r="S210" s="20" t="n">
        <v>3.650632</v>
      </c>
      <c r="T210" s="23">
        <f>IFERROR(AVERAGE(D210:S210),"")</f>
        <v/>
      </c>
    </row>
    <row r="211">
      <c r="A211" s="22" t="n">
        <v>44865</v>
      </c>
      <c r="B211" s="22" t="n">
        <v>44869</v>
      </c>
      <c r="C211">
        <f>TEXT(A211,"yyyy-mm")</f>
        <v/>
      </c>
      <c r="D211" s="20" t="n">
        <v>3.52734</v>
      </c>
      <c r="E211" s="20" t="n">
        <v>3.525056</v>
      </c>
      <c r="F211" s="20" t="n">
        <v>3.52103</v>
      </c>
      <c r="G211" s="20" t="n">
        <v>3.528486</v>
      </c>
      <c r="H211" s="20" t="n">
        <v>3.534052</v>
      </c>
      <c r="I211" s="20" t="n">
        <v>3.51944</v>
      </c>
      <c r="J211" s="20" t="n">
        <v>3.547414</v>
      </c>
      <c r="K211" s="20" t="n">
        <v>3.673804</v>
      </c>
      <c r="L211" s="20" t="n">
        <v>3.712434</v>
      </c>
      <c r="M211" s="20" t="n">
        <v>3.732968</v>
      </c>
      <c r="N211" s="20" t="n">
        <v>3.568114</v>
      </c>
      <c r="O211" s="20" t="n">
        <v>3.585284</v>
      </c>
      <c r="P211" s="20" t="n">
        <v>3.627288</v>
      </c>
      <c r="Q211" s="20" t="n">
        <v>3.613846</v>
      </c>
      <c r="R211" s="20" t="n">
        <v>3.578304</v>
      </c>
      <c r="S211" s="20" t="n">
        <v>3.606068</v>
      </c>
      <c r="T211" s="23">
        <f>IFERROR(AVERAGE(D211:S211),"")</f>
        <v/>
      </c>
    </row>
    <row r="212">
      <c r="A212" s="22" t="n">
        <v>44872</v>
      </c>
      <c r="B212" s="22" t="n">
        <v>44876</v>
      </c>
      <c r="C212">
        <f>TEXT(A212,"yyyy-mm")</f>
        <v/>
      </c>
      <c r="D212" s="20" t="n">
        <v>3.416714</v>
      </c>
      <c r="E212" s="20" t="n">
        <v>3.414502</v>
      </c>
      <c r="F212" s="20" t="n">
        <v>3.410536</v>
      </c>
      <c r="G212" s="20" t="n">
        <v>3.417898</v>
      </c>
      <c r="H212" s="20" t="n">
        <v>3.423436</v>
      </c>
      <c r="I212" s="20" t="n">
        <v>3.408816</v>
      </c>
      <c r="J212" s="20" t="n">
        <v>3.43669</v>
      </c>
      <c r="K212" s="20" t="n">
        <v>3.567288</v>
      </c>
      <c r="L212" s="20" t="n">
        <v>3.606458</v>
      </c>
      <c r="M212" s="20" t="n">
        <v>3.62753</v>
      </c>
      <c r="N212" s="20" t="n">
        <v>3.458384</v>
      </c>
      <c r="O212" s="20" t="n">
        <v>3.476</v>
      </c>
      <c r="P212" s="20" t="n">
        <v>3.519096</v>
      </c>
      <c r="Q212" s="20" t="n">
        <v>3.505306</v>
      </c>
      <c r="R212" s="20" t="n">
        <v>3.469208</v>
      </c>
      <c r="S212" s="20" t="n">
        <v>3.496868</v>
      </c>
      <c r="T212" s="23">
        <f>IFERROR(AVERAGE(D212:S212),"")</f>
        <v/>
      </c>
    </row>
    <row r="213">
      <c r="A213" s="22" t="n">
        <v>44879</v>
      </c>
      <c r="B213" s="22" t="n">
        <v>44883</v>
      </c>
      <c r="C213">
        <f>TEXT(A213,"yyyy-mm")</f>
        <v/>
      </c>
      <c r="D213" s="20" t="n">
        <v>3.33335</v>
      </c>
      <c r="E213" s="20" t="n">
        <v>3.330424</v>
      </c>
      <c r="F213" s="20" t="n">
        <v>3.324376</v>
      </c>
      <c r="G213" s="20" t="n">
        <v>3.335938</v>
      </c>
      <c r="H213" s="20" t="n">
        <v>3.345138</v>
      </c>
      <c r="I213" s="20" t="n">
        <v>3.330692</v>
      </c>
      <c r="J213" s="20" t="n">
        <v>3.366702</v>
      </c>
      <c r="K213" s="20" t="n">
        <v>3.484788</v>
      </c>
      <c r="L213" s="20" t="n">
        <v>3.532438</v>
      </c>
      <c r="M213" s="20" t="n">
        <v>3.554</v>
      </c>
      <c r="N213" s="20" t="n">
        <v>3.380904</v>
      </c>
      <c r="O213" s="20" t="n">
        <v>3.39893</v>
      </c>
      <c r="P213" s="20" t="n">
        <v>3.443034</v>
      </c>
      <c r="Q213" s="20" t="n">
        <v>3.428922</v>
      </c>
      <c r="R213" s="20" t="n">
        <v>3.392496</v>
      </c>
      <c r="S213" s="20" t="n">
        <v>3.428286</v>
      </c>
      <c r="T213" s="23">
        <f>IFERROR(AVERAGE(D213:S213),"")</f>
        <v/>
      </c>
    </row>
    <row r="214">
      <c r="A214" s="22" t="n">
        <v>44886</v>
      </c>
      <c r="B214" s="22" t="n">
        <v>44890</v>
      </c>
      <c r="C214">
        <f>TEXT(A214,"yyyy-mm")</f>
        <v/>
      </c>
      <c r="D214" s="20" t="n">
        <v>3.215377</v>
      </c>
      <c r="E214" s="20" t="n">
        <v>3.21177</v>
      </c>
      <c r="F214" s="20" t="n">
        <v>3.204777</v>
      </c>
      <c r="G214" s="20" t="n">
        <v>3.21799</v>
      </c>
      <c r="H214" s="20" t="n">
        <v>3.228257</v>
      </c>
      <c r="I214" s="20" t="n">
        <v>3.213913</v>
      </c>
      <c r="J214" s="20" t="n">
        <v>3.25254</v>
      </c>
      <c r="K214" s="20" t="n">
        <v>3.364717</v>
      </c>
      <c r="L214" s="20" t="n">
        <v>3.41501</v>
      </c>
      <c r="M214" s="20" t="n">
        <v>3.436507</v>
      </c>
      <c r="N214" s="20" t="n">
        <v>3.26392</v>
      </c>
      <c r="O214" s="20" t="n">
        <v>3.281893</v>
      </c>
      <c r="P214" s="20" t="n">
        <v>3.325867</v>
      </c>
      <c r="Q214" s="20" t="n">
        <v>3.311797</v>
      </c>
      <c r="R214" s="20" t="n">
        <v>3.275533</v>
      </c>
      <c r="S214" s="20" t="n">
        <v>3.313943</v>
      </c>
      <c r="T214" s="23">
        <f>IFERROR(AVERAGE(D214:S214),"")</f>
        <v/>
      </c>
    </row>
    <row r="215">
      <c r="A215" s="22" t="n">
        <v>44893</v>
      </c>
      <c r="B215" s="22" t="n">
        <v>44897</v>
      </c>
      <c r="C215">
        <f>TEXT(A215,"yyyy-mm")</f>
        <v/>
      </c>
      <c r="D215" s="20" t="n">
        <v>3.026082</v>
      </c>
      <c r="E215" s="20" t="n">
        <v>3.02292</v>
      </c>
      <c r="F215" s="20" t="n">
        <v>3.016258</v>
      </c>
      <c r="G215" s="20" t="n">
        <v>3.029042</v>
      </c>
      <c r="H215" s="20" t="n">
        <v>3.03929</v>
      </c>
      <c r="I215" s="20" t="n">
        <v>3.024898</v>
      </c>
      <c r="J215" s="20" t="n">
        <v>3.063248</v>
      </c>
      <c r="K215" s="20" t="n">
        <v>3.173334</v>
      </c>
      <c r="L215" s="20" t="n">
        <v>3.222694</v>
      </c>
      <c r="M215" s="20" t="n">
        <v>3.243808</v>
      </c>
      <c r="N215" s="20" t="n">
        <v>3.074312</v>
      </c>
      <c r="O215" s="20" t="n">
        <v>3.091964</v>
      </c>
      <c r="P215" s="20" t="n">
        <v>3.135152</v>
      </c>
      <c r="Q215" s="20" t="n">
        <v>3.121332</v>
      </c>
      <c r="R215" s="20" t="n">
        <v>3.085414</v>
      </c>
      <c r="S215" s="20" t="n">
        <v>3.123556</v>
      </c>
      <c r="T215" s="23">
        <f>IFERROR(AVERAGE(D215:S215),"")</f>
        <v/>
      </c>
    </row>
    <row r="216">
      <c r="A216" s="22" t="n">
        <v>44900</v>
      </c>
      <c r="B216" s="22" t="n">
        <v>44904</v>
      </c>
      <c r="C216">
        <f>TEXT(A216,"yyyy-mm")</f>
        <v/>
      </c>
      <c r="D216" s="20" t="n">
        <v>2.72606</v>
      </c>
      <c r="E216" s="20" t="n">
        <v>2.722538</v>
      </c>
      <c r="F216" s="20" t="n">
        <v>2.715374</v>
      </c>
      <c r="G216" s="20" t="n">
        <v>2.729036</v>
      </c>
      <c r="H216" s="20" t="n">
        <v>2.739854</v>
      </c>
      <c r="I216" s="20" t="n">
        <v>2.725516</v>
      </c>
      <c r="J216" s="20" t="n">
        <v>2.765262</v>
      </c>
      <c r="K216" s="20" t="n">
        <v>2.871976</v>
      </c>
      <c r="L216" s="20" t="n">
        <v>2.92271</v>
      </c>
      <c r="M216" s="20" t="n">
        <v>2.94376</v>
      </c>
      <c r="N216" s="20" t="n">
        <v>2.774772</v>
      </c>
      <c r="O216" s="20" t="n">
        <v>2.792372</v>
      </c>
      <c r="P216" s="20" t="n">
        <v>2.835426</v>
      </c>
      <c r="Q216" s="20" t="n">
        <v>2.82165</v>
      </c>
      <c r="R216" s="20" t="n">
        <v>2.785854</v>
      </c>
      <c r="S216" s="20" t="n">
        <v>2.825386</v>
      </c>
      <c r="T216" s="23">
        <f>IFERROR(AVERAGE(D216:S216),"")</f>
        <v/>
      </c>
    </row>
    <row r="217">
      <c r="A217" s="22" t="n">
        <v>44907</v>
      </c>
      <c r="B217" s="22" t="n">
        <v>44911</v>
      </c>
      <c r="C217">
        <f>TEXT(A217,"yyyy-mm")</f>
        <v/>
      </c>
      <c r="D217" s="20" t="n">
        <v>2.83013</v>
      </c>
      <c r="E217" s="20" t="n">
        <v>2.827188</v>
      </c>
      <c r="F217" s="20" t="n">
        <v>2.82145</v>
      </c>
      <c r="G217" s="20" t="n">
        <v>2.832314</v>
      </c>
      <c r="H217" s="20" t="n">
        <v>2.84079</v>
      </c>
      <c r="I217" s="20" t="n">
        <v>2.826324</v>
      </c>
      <c r="J217" s="20" t="n">
        <v>2.860808</v>
      </c>
      <c r="K217" s="20" t="n">
        <v>2.980286</v>
      </c>
      <c r="L217" s="20" t="n">
        <v>3.026246</v>
      </c>
      <c r="M217" s="20" t="n">
        <v>3.047596</v>
      </c>
      <c r="N217" s="20" t="n">
        <v>2.876204</v>
      </c>
      <c r="O217" s="20" t="n">
        <v>2.894054</v>
      </c>
      <c r="P217" s="20" t="n">
        <v>2.937722</v>
      </c>
      <c r="Q217" s="20" t="n">
        <v>2.92375</v>
      </c>
      <c r="R217" s="20" t="n">
        <v>2.887522</v>
      </c>
      <c r="S217" s="20" t="n">
        <v>2.921786</v>
      </c>
      <c r="T217" s="23">
        <f>IFERROR(AVERAGE(D217:S217),"")</f>
        <v/>
      </c>
    </row>
    <row r="218">
      <c r="A218" s="22" t="n">
        <v>44914</v>
      </c>
      <c r="B218" s="22" t="n">
        <v>44918</v>
      </c>
      <c r="C218">
        <f>TEXT(A218,"yyyy-mm")</f>
        <v/>
      </c>
      <c r="D218" s="20" t="n">
        <v>2.828772</v>
      </c>
      <c r="E218" s="20" t="n">
        <v>2.826476</v>
      </c>
      <c r="F218" s="20" t="n">
        <v>2.822358</v>
      </c>
      <c r="G218" s="20" t="n">
        <v>2.83001</v>
      </c>
      <c r="H218" s="20" t="n">
        <v>2.83577</v>
      </c>
      <c r="I218" s="20" t="n">
        <v>2.821168</v>
      </c>
      <c r="J218" s="20" t="n">
        <v>2.849554</v>
      </c>
      <c r="K218" s="20" t="n">
        <v>2.978064</v>
      </c>
      <c r="L218" s="20" t="n">
        <v>3.01757</v>
      </c>
      <c r="M218" s="20" t="n">
        <v>3.038504</v>
      </c>
      <c r="N218" s="20" t="n">
        <v>2.87049</v>
      </c>
      <c r="O218" s="20" t="n">
        <v>2.887986</v>
      </c>
      <c r="P218" s="20" t="n">
        <v>2.930796</v>
      </c>
      <c r="Q218" s="20" t="n">
        <v>2.917096</v>
      </c>
      <c r="R218" s="20" t="n">
        <v>2.881162</v>
      </c>
      <c r="S218" s="20" t="n">
        <v>2.909336</v>
      </c>
      <c r="T218" s="23">
        <f>IFERROR(AVERAGE(D218:S218),"")</f>
        <v/>
      </c>
    </row>
    <row r="219">
      <c r="A219" s="22" t="n">
        <v>44921</v>
      </c>
      <c r="B219" s="22" t="n">
        <v>44925</v>
      </c>
      <c r="C219">
        <f>TEXT(A219,"yyyy-mm")</f>
        <v/>
      </c>
      <c r="D219" s="20" t="n">
        <v>3.063975</v>
      </c>
      <c r="E219" s="20" t="n">
        <v>3.061588</v>
      </c>
      <c r="F219" s="20" t="n">
        <v>3.057765</v>
      </c>
      <c r="G219" s="20" t="n">
        <v>3.06469</v>
      </c>
      <c r="H219" s="20" t="n">
        <v>3.069628</v>
      </c>
      <c r="I219" s="20" t="n">
        <v>3.05501</v>
      </c>
      <c r="J219" s="20" t="n">
        <v>3.081693</v>
      </c>
      <c r="K219" s="20" t="n">
        <v>3.21538</v>
      </c>
      <c r="L219" s="20" t="n">
        <v>3.25366</v>
      </c>
      <c r="M219" s="20" t="n">
        <v>3.274848</v>
      </c>
      <c r="N219" s="20" t="n">
        <v>3.10477</v>
      </c>
      <c r="O219" s="20" t="n">
        <v>3.12248</v>
      </c>
      <c r="P219" s="20" t="n">
        <v>3.165818</v>
      </c>
      <c r="Q219" s="20" t="n">
        <v>3.15195</v>
      </c>
      <c r="R219" s="20" t="n">
        <v>3.11574</v>
      </c>
      <c r="S219" s="20" t="n">
        <v>3.142205</v>
      </c>
      <c r="T219" s="23">
        <f>IFERROR(AVERAGE(D219:S219),"")</f>
        <v/>
      </c>
    </row>
    <row r="220">
      <c r="A220" s="22" t="n">
        <v>44928</v>
      </c>
      <c r="B220" s="22" t="n">
        <v>44932</v>
      </c>
      <c r="C220">
        <f>TEXT(A220,"yyyy-mm")</f>
        <v/>
      </c>
      <c r="D220" s="20" t="n">
        <v>3.141148</v>
      </c>
      <c r="E220" s="20" t="n">
        <v>3.136858</v>
      </c>
      <c r="F220" s="20" t="n">
        <v>3.133903</v>
      </c>
      <c r="G220" s="20" t="n">
        <v>3.13974</v>
      </c>
      <c r="H220" s="20" t="n">
        <v>3.145815</v>
      </c>
      <c r="I220" s="20" t="n">
        <v>3.1315</v>
      </c>
      <c r="J220" s="20" t="n">
        <v>3.156868</v>
      </c>
      <c r="K220" s="20" t="n">
        <v>3.29455</v>
      </c>
      <c r="L220" s="20" t="n">
        <v>3.333385</v>
      </c>
      <c r="M220" s="20" t="n">
        <v>3.354978</v>
      </c>
      <c r="N220" s="20" t="n">
        <v>3.181633</v>
      </c>
      <c r="O220" s="20" t="n">
        <v>3.199688</v>
      </c>
      <c r="P220" s="20" t="n">
        <v>3.243853</v>
      </c>
      <c r="Q220" s="20" t="n">
        <v>3.229723</v>
      </c>
      <c r="R220" s="20" t="n">
        <v>3.193393</v>
      </c>
      <c r="S220" s="20" t="n">
        <v>3.218545</v>
      </c>
      <c r="T220" s="23">
        <f>IFERROR(AVERAGE(D220:S220),"")</f>
        <v/>
      </c>
    </row>
    <row r="221">
      <c r="A221" s="22" t="n">
        <v>44935</v>
      </c>
      <c r="B221" s="22" t="n">
        <v>44939</v>
      </c>
      <c r="C221">
        <f>TEXT(A221,"yyyy-mm")</f>
        <v/>
      </c>
      <c r="D221" s="20" t="n">
        <v>3.04905</v>
      </c>
      <c r="E221" s="20" t="n">
        <v>3.04576</v>
      </c>
      <c r="F221" s="20" t="n">
        <v>3.043382</v>
      </c>
      <c r="G221" s="20" t="n">
        <v>3.04816</v>
      </c>
      <c r="H221" s="20" t="n">
        <v>3.0532</v>
      </c>
      <c r="I221" s="20" t="n">
        <v>3.038736</v>
      </c>
      <c r="J221" s="20" t="n">
        <v>3.062426</v>
      </c>
      <c r="K221" s="20" t="n">
        <v>3.197694</v>
      </c>
      <c r="L221" s="20" t="n">
        <v>3.23338</v>
      </c>
      <c r="M221" s="20" t="n">
        <v>3.254122</v>
      </c>
      <c r="N221" s="20" t="n">
        <v>3.087606</v>
      </c>
      <c r="O221" s="20" t="n">
        <v>3.104948</v>
      </c>
      <c r="P221" s="20" t="n">
        <v>3.147374</v>
      </c>
      <c r="Q221" s="20" t="n">
        <v>3.1338</v>
      </c>
      <c r="R221" s="20" t="n">
        <v>3.09819</v>
      </c>
      <c r="S221" s="20" t="n">
        <v>3.121672</v>
      </c>
      <c r="T221" s="23">
        <f>IFERROR(AVERAGE(D221:S221),"")</f>
        <v/>
      </c>
    </row>
    <row r="222">
      <c r="A222" s="22" t="n">
        <v>44942</v>
      </c>
      <c r="B222" s="22" t="n">
        <v>44946</v>
      </c>
      <c r="C222">
        <f>TEXT(A222,"yyyy-mm")</f>
        <v/>
      </c>
      <c r="D222" s="20" t="n">
        <v>3.271165</v>
      </c>
      <c r="E222" s="20" t="n">
        <v>3.268198</v>
      </c>
      <c r="F222" s="20" t="n">
        <v>3.266085</v>
      </c>
      <c r="G222" s="20" t="n">
        <v>3.27031</v>
      </c>
      <c r="H222" s="20" t="n">
        <v>3.27475</v>
      </c>
      <c r="I222" s="20" t="n">
        <v>3.260225</v>
      </c>
      <c r="J222" s="20" t="n">
        <v>3.282858</v>
      </c>
      <c r="K222" s="20" t="n">
        <v>3.42028</v>
      </c>
      <c r="L222" s="20" t="n">
        <v>3.454788</v>
      </c>
      <c r="M222" s="20" t="n">
        <v>3.475513</v>
      </c>
      <c r="N222" s="20" t="n">
        <v>3.30913</v>
      </c>
      <c r="O222" s="20" t="n">
        <v>3.326458</v>
      </c>
      <c r="P222" s="20" t="n">
        <v>3.36885</v>
      </c>
      <c r="Q222" s="20" t="n">
        <v>3.355285</v>
      </c>
      <c r="R222" s="20" t="n">
        <v>3.319635</v>
      </c>
      <c r="S222" s="20" t="n">
        <v>3.342058</v>
      </c>
      <c r="T222" s="23">
        <f>IFERROR(AVERAGE(D222:S222),"")</f>
        <v/>
      </c>
    </row>
    <row r="223">
      <c r="A223" s="22" t="n">
        <v>44949</v>
      </c>
      <c r="B223" s="22" t="n">
        <v>44953</v>
      </c>
      <c r="C223">
        <f>TEXT(A223,"yyyy-mm")</f>
        <v/>
      </c>
      <c r="D223" s="20" t="n">
        <v>3.359202</v>
      </c>
      <c r="E223" s="20" t="n">
        <v>3.3563</v>
      </c>
      <c r="F223" s="20" t="n">
        <v>3.354406</v>
      </c>
      <c r="G223" s="20" t="n">
        <v>3.358084</v>
      </c>
      <c r="H223" s="20" t="n">
        <v>3.361854</v>
      </c>
      <c r="I223" s="20" t="n">
        <v>3.347304</v>
      </c>
      <c r="J223" s="20" t="n">
        <v>3.368674</v>
      </c>
      <c r="K223" s="20" t="n">
        <v>3.507404</v>
      </c>
      <c r="L223" s="20" t="n">
        <v>3.540496</v>
      </c>
      <c r="M223" s="20" t="n">
        <v>3.56106</v>
      </c>
      <c r="N223" s="20" t="n">
        <v>3.395964</v>
      </c>
      <c r="O223" s="20" t="n">
        <v>3.413162</v>
      </c>
      <c r="P223" s="20" t="n">
        <v>3.455224</v>
      </c>
      <c r="Q223" s="20" t="n">
        <v>3.441766</v>
      </c>
      <c r="R223" s="20" t="n">
        <v>3.406254</v>
      </c>
      <c r="S223" s="20" t="n">
        <v>3.427414</v>
      </c>
      <c r="T223" s="23">
        <f>IFERROR(AVERAGE(D223:S223),"")</f>
        <v/>
      </c>
    </row>
    <row r="224">
      <c r="A224" s="22" t="n">
        <v>44956</v>
      </c>
      <c r="B224" s="22" t="n">
        <v>44960</v>
      </c>
      <c r="C224">
        <f>TEXT(A224,"yyyy-mm")</f>
        <v/>
      </c>
      <c r="D224" s="20" t="n">
        <v>3.124118</v>
      </c>
      <c r="E224" s="20" t="n">
        <v>3.121456</v>
      </c>
      <c r="F224" s="20" t="n">
        <v>3.119656</v>
      </c>
      <c r="G224" s="20" t="n">
        <v>3.123204</v>
      </c>
      <c r="H224" s="20" t="n">
        <v>3.126878</v>
      </c>
      <c r="I224" s="20" t="n">
        <v>3.1123</v>
      </c>
      <c r="J224" s="20" t="n">
        <v>3.133564</v>
      </c>
      <c r="K224" s="20" t="n">
        <v>3.27178</v>
      </c>
      <c r="L224" s="20" t="n">
        <v>3.304502</v>
      </c>
      <c r="M224" s="20" t="n">
        <v>3.324954</v>
      </c>
      <c r="N224" s="20" t="n">
        <v>3.160796</v>
      </c>
      <c r="O224" s="20" t="n">
        <v>3.177894</v>
      </c>
      <c r="P224" s="20" t="n">
        <v>3.21972</v>
      </c>
      <c r="Q224" s="20" t="n">
        <v>3.206336</v>
      </c>
      <c r="R224" s="20" t="n">
        <v>3.170912</v>
      </c>
      <c r="S224" s="20" t="n">
        <v>3.191972</v>
      </c>
      <c r="T224" s="23">
        <f>IFERROR(AVERAGE(D224:S224),"")</f>
        <v/>
      </c>
    </row>
    <row r="225">
      <c r="A225" s="22" t="n">
        <v>44963</v>
      </c>
      <c r="B225" s="22" t="n">
        <v>44967</v>
      </c>
      <c r="C225">
        <f>TEXT(A225,"yyyy-mm")</f>
        <v/>
      </c>
      <c r="D225" s="20" t="n">
        <v>3.046558</v>
      </c>
      <c r="E225" s="20" t="n">
        <v>3.042186</v>
      </c>
      <c r="F225" s="20" t="n">
        <v>3.03894</v>
      </c>
      <c r="G225" s="20" t="n">
        <v>3.045506</v>
      </c>
      <c r="H225" s="20" t="n">
        <v>3.052462</v>
      </c>
      <c r="I225" s="20" t="n">
        <v>3.038178</v>
      </c>
      <c r="J225" s="20" t="n">
        <v>3.065236</v>
      </c>
      <c r="K225" s="20" t="n">
        <v>3.19465</v>
      </c>
      <c r="L225" s="20" t="n">
        <v>3.23427</v>
      </c>
      <c r="M225" s="20" t="n">
        <v>3.255202</v>
      </c>
      <c r="N225" s="20" t="n">
        <v>3.087178</v>
      </c>
      <c r="O225" s="20" t="n">
        <v>3.104678</v>
      </c>
      <c r="P225" s="20" t="n">
        <v>3.14749</v>
      </c>
      <c r="Q225" s="20" t="n">
        <v>3.133792</v>
      </c>
      <c r="R225" s="20" t="n">
        <v>3.098172</v>
      </c>
      <c r="S225" s="20" t="n">
        <v>3.125016</v>
      </c>
      <c r="T225" s="23">
        <f>IFERROR(AVERAGE(D225:S225),"")</f>
        <v/>
      </c>
    </row>
    <row r="226">
      <c r="A226" s="22" t="n">
        <v>44970</v>
      </c>
      <c r="B226" s="22" t="n">
        <v>44974</v>
      </c>
      <c r="C226">
        <f>TEXT(A226,"yyyy-mm")</f>
        <v/>
      </c>
      <c r="D226" s="20" t="n">
        <v>3.135162</v>
      </c>
      <c r="E226" s="20" t="n">
        <v>3.129182</v>
      </c>
      <c r="F226" s="20" t="n">
        <v>3.124234</v>
      </c>
      <c r="G226" s="20" t="n">
        <v>3.134526</v>
      </c>
      <c r="H226" s="20" t="n">
        <v>3.145674</v>
      </c>
      <c r="I226" s="20" t="n">
        <v>3.131704</v>
      </c>
      <c r="J226" s="20" t="n">
        <v>3.16633</v>
      </c>
      <c r="K226" s="20" t="n">
        <v>3.279506</v>
      </c>
      <c r="L226" s="20" t="n">
        <v>3.326974</v>
      </c>
      <c r="M226" s="20" t="n">
        <v>3.347846</v>
      </c>
      <c r="N226" s="20" t="n">
        <v>3.180296</v>
      </c>
      <c r="O226" s="20" t="n">
        <v>3.197746</v>
      </c>
      <c r="P226" s="20" t="n">
        <v>3.240436</v>
      </c>
      <c r="Q226" s="20" t="n">
        <v>3.226776</v>
      </c>
      <c r="R226" s="20" t="n">
        <v>3.19153</v>
      </c>
      <c r="S226" s="20" t="n">
        <v>3.225942</v>
      </c>
      <c r="T226" s="23">
        <f>IFERROR(AVERAGE(D226:S226),"")</f>
        <v/>
      </c>
    </row>
    <row r="227">
      <c r="A227" s="22" t="n">
        <v>44977</v>
      </c>
      <c r="B227" s="22" t="n">
        <v>44981</v>
      </c>
      <c r="C227">
        <f>TEXT(A227,"yyyy-mm")</f>
        <v/>
      </c>
      <c r="D227" s="20" t="n">
        <v>2.972205</v>
      </c>
      <c r="E227" s="20" t="n">
        <v>2.967423</v>
      </c>
      <c r="F227" s="20" t="n">
        <v>2.96395</v>
      </c>
      <c r="G227" s="20" t="n">
        <v>2.97093</v>
      </c>
      <c r="H227" s="20" t="n">
        <v>2.97829</v>
      </c>
      <c r="I227" s="20" t="n">
        <v>2.964068</v>
      </c>
      <c r="J227" s="20" t="n">
        <v>2.991768</v>
      </c>
      <c r="K227" s="20" t="n">
        <v>3.118388</v>
      </c>
      <c r="L227" s="20" t="n">
        <v>3.158613</v>
      </c>
      <c r="M227" s="20" t="n">
        <v>3.179368</v>
      </c>
      <c r="N227" s="20" t="n">
        <v>3.01272</v>
      </c>
      <c r="O227" s="20" t="n">
        <v>3.03008</v>
      </c>
      <c r="P227" s="20" t="n">
        <v>3.072538</v>
      </c>
      <c r="Q227" s="20" t="n">
        <v>3.058953</v>
      </c>
      <c r="R227" s="20" t="n">
        <v>3.02357</v>
      </c>
      <c r="S227" s="20" t="n">
        <v>3.051063</v>
      </c>
      <c r="T227" s="23">
        <f>IFERROR(AVERAGE(D227:S227),"")</f>
        <v/>
      </c>
    </row>
    <row r="228">
      <c r="A228" s="22" t="n">
        <v>44984</v>
      </c>
      <c r="B228" s="22" t="n">
        <v>44988</v>
      </c>
      <c r="C228">
        <f>TEXT(A228,"yyyy-mm")</f>
        <v/>
      </c>
      <c r="D228" s="20" t="n">
        <v>3.08453</v>
      </c>
      <c r="E228" s="20" t="n">
        <v>3.07917</v>
      </c>
      <c r="F228" s="20" t="n">
        <v>3.07486</v>
      </c>
      <c r="G228" s="20" t="n">
        <v>3.083772</v>
      </c>
      <c r="H228" s="20" t="n">
        <v>3.093374</v>
      </c>
      <c r="I228" s="20" t="n">
        <v>3.079284</v>
      </c>
      <c r="J228" s="20" t="n">
        <v>3.111124</v>
      </c>
      <c r="K228" s="20" t="n">
        <v>3.230334</v>
      </c>
      <c r="L228" s="20" t="n">
        <v>3.274906</v>
      </c>
      <c r="M228" s="20" t="n">
        <v>3.295808</v>
      </c>
      <c r="N228" s="20" t="n">
        <v>3.128038</v>
      </c>
      <c r="O228" s="20" t="n">
        <v>3.14551</v>
      </c>
      <c r="P228" s="20" t="n">
        <v>3.188258</v>
      </c>
      <c r="Q228" s="20" t="n">
        <v>3.174578</v>
      </c>
      <c r="R228" s="20" t="n">
        <v>3.139184</v>
      </c>
      <c r="S228" s="20" t="n">
        <v>3.170816</v>
      </c>
      <c r="T228" s="23">
        <f>IFERROR(AVERAGE(D228:S228),"")</f>
        <v/>
      </c>
    </row>
    <row r="229">
      <c r="A229" s="22" t="n">
        <v>44991</v>
      </c>
      <c r="B229" s="22" t="n">
        <v>44995</v>
      </c>
      <c r="C229">
        <f>TEXT(A229,"yyyy-mm")</f>
        <v/>
      </c>
      <c r="D229" s="20" t="n">
        <v>3.163556</v>
      </c>
      <c r="E229" s="20" t="n">
        <v>3.158456</v>
      </c>
      <c r="F229" s="20" t="n">
        <v>3.154408</v>
      </c>
      <c r="G229" s="20" t="n">
        <v>3.162752</v>
      </c>
      <c r="H229" s="20" t="n">
        <v>3.171716</v>
      </c>
      <c r="I229" s="20" t="n">
        <v>3.15758</v>
      </c>
      <c r="J229" s="20" t="n">
        <v>3.188276</v>
      </c>
      <c r="K229" s="20" t="n">
        <v>3.308854</v>
      </c>
      <c r="L229" s="20" t="n">
        <v>3.352048</v>
      </c>
      <c r="M229" s="20" t="n">
        <v>3.372812</v>
      </c>
      <c r="N229" s="20" t="n">
        <v>3.20615</v>
      </c>
      <c r="O229" s="20" t="n">
        <v>3.22351</v>
      </c>
      <c r="P229" s="20" t="n">
        <v>3.265972</v>
      </c>
      <c r="Q229" s="20" t="n">
        <v>3.252384</v>
      </c>
      <c r="R229" s="20" t="n">
        <v>3.217084</v>
      </c>
      <c r="S229" s="20" t="n">
        <v>3.247572</v>
      </c>
      <c r="T229" s="23">
        <f>IFERROR(AVERAGE(D229:S229),"")</f>
        <v/>
      </c>
    </row>
    <row r="230">
      <c r="A230" s="22" t="n">
        <v>44998</v>
      </c>
      <c r="B230" s="22" t="n">
        <v>45002</v>
      </c>
      <c r="C230">
        <f>TEXT(A230,"yyyy-mm")</f>
        <v/>
      </c>
      <c r="D230" s="20" t="n">
        <v>2.964292</v>
      </c>
      <c r="E230" s="20" t="n">
        <v>2.959714</v>
      </c>
      <c r="F230" s="20" t="n">
        <v>2.956176</v>
      </c>
      <c r="G230" s="20" t="n">
        <v>2.963412</v>
      </c>
      <c r="H230" s="20" t="n">
        <v>2.971146</v>
      </c>
      <c r="I230" s="20" t="n">
        <v>2.956914</v>
      </c>
      <c r="J230" s="20" t="n">
        <v>2.985404</v>
      </c>
      <c r="K230" s="20" t="n">
        <v>3.113448</v>
      </c>
      <c r="L230" s="20" t="n">
        <v>3.154782</v>
      </c>
      <c r="M230" s="20" t="n">
        <v>3.175922</v>
      </c>
      <c r="N230" s="20" t="n">
        <v>3.006216</v>
      </c>
      <c r="O230" s="20" t="n">
        <v>3.02389</v>
      </c>
      <c r="P230" s="20" t="n">
        <v>3.067128</v>
      </c>
      <c r="Q230" s="20" t="n">
        <v>3.053294</v>
      </c>
      <c r="R230" s="20" t="n">
        <v>3.017508</v>
      </c>
      <c r="S230" s="20" t="n">
        <v>3.045784</v>
      </c>
      <c r="T230" s="23">
        <f>IFERROR(AVERAGE(D230:S230),"")</f>
        <v/>
      </c>
    </row>
    <row r="231">
      <c r="A231" s="22" t="n">
        <v>45005</v>
      </c>
      <c r="B231" s="22" t="n">
        <v>45009</v>
      </c>
      <c r="C231">
        <f>TEXT(A231,"yyyy-mm")</f>
        <v/>
      </c>
      <c r="D231" s="20" t="n">
        <v>2.964486</v>
      </c>
      <c r="E231" s="20" t="n">
        <v>2.95989</v>
      </c>
      <c r="F231" s="20" t="n">
        <v>2.956284</v>
      </c>
      <c r="G231" s="20" t="n">
        <v>2.96369</v>
      </c>
      <c r="H231" s="20" t="n">
        <v>2.971626</v>
      </c>
      <c r="I231" s="20" t="n">
        <v>2.957398</v>
      </c>
      <c r="J231" s="20" t="n">
        <v>2.98627</v>
      </c>
      <c r="K231" s="20" t="n">
        <v>3.113106</v>
      </c>
      <c r="L231" s="20" t="n">
        <v>3.154728</v>
      </c>
      <c r="M231" s="20" t="n">
        <v>3.17581</v>
      </c>
      <c r="N231" s="20" t="n">
        <v>3.006588</v>
      </c>
      <c r="O231" s="20" t="n">
        <v>3.024212</v>
      </c>
      <c r="P231" s="20" t="n">
        <v>3.067328</v>
      </c>
      <c r="Q231" s="20" t="n">
        <v>3.053532</v>
      </c>
      <c r="R231" s="20" t="n">
        <v>3.017816</v>
      </c>
      <c r="S231" s="20" t="n">
        <v>3.046478</v>
      </c>
      <c r="T231" s="23">
        <f>IFERROR(AVERAGE(D231:S231),"")</f>
        <v/>
      </c>
    </row>
    <row r="232">
      <c r="A232" s="22" t="n">
        <v>45012</v>
      </c>
      <c r="B232" s="22" t="n">
        <v>45016</v>
      </c>
      <c r="C232">
        <f>TEXT(A232,"yyyy-mm")</f>
        <v/>
      </c>
      <c r="D232" s="20" t="n">
        <v>3.066888</v>
      </c>
      <c r="E232" s="20" t="n">
        <v>3.062866</v>
      </c>
      <c r="F232" s="20" t="n">
        <v>3.059522</v>
      </c>
      <c r="G232" s="20" t="n">
        <v>3.066438</v>
      </c>
      <c r="H232" s="20" t="n">
        <v>3.073896</v>
      </c>
      <c r="I232" s="20" t="n">
        <v>3.059598</v>
      </c>
      <c r="J232" s="20" t="n">
        <v>3.08769</v>
      </c>
      <c r="K232" s="20" t="n">
        <v>3.213234</v>
      </c>
      <c r="L232" s="20" t="n">
        <v>3.253366</v>
      </c>
      <c r="M232" s="20" t="n">
        <v>3.274028</v>
      </c>
      <c r="N232" s="20" t="n">
        <v>3.108168</v>
      </c>
      <c r="O232" s="20" t="n">
        <v>3.12544</v>
      </c>
      <c r="P232" s="20" t="n">
        <v>3.167702</v>
      </c>
      <c r="Q232" s="20" t="n">
        <v>3.154176</v>
      </c>
      <c r="R232" s="20" t="n">
        <v>3.11882</v>
      </c>
      <c r="S232" s="20" t="n">
        <v>3.146704</v>
      </c>
      <c r="T232" s="23">
        <f>IFERROR(AVERAGE(D232:S232),"")</f>
        <v/>
      </c>
    </row>
    <row r="233">
      <c r="A233" s="22" t="n">
        <v>45019</v>
      </c>
      <c r="B233" s="22" t="n">
        <v>45023</v>
      </c>
      <c r="C233">
        <f>TEXT(A233,"yyyy-mm")</f>
        <v/>
      </c>
      <c r="D233" s="20" t="n">
        <v>3.18481</v>
      </c>
      <c r="E233" s="20" t="n">
        <v>3.180313</v>
      </c>
      <c r="F233" s="20" t="n">
        <v>3.176285</v>
      </c>
      <c r="G233" s="20" t="n">
        <v>3.184828</v>
      </c>
      <c r="H233" s="20" t="n">
        <v>3.194208</v>
      </c>
      <c r="I233" s="20" t="n">
        <v>3.180013</v>
      </c>
      <c r="J233" s="20" t="n">
        <v>3.21169</v>
      </c>
      <c r="K233" s="20" t="n">
        <v>3.327708</v>
      </c>
      <c r="L233" s="20" t="n">
        <v>3.371013</v>
      </c>
      <c r="M233" s="20" t="n">
        <v>3.39137</v>
      </c>
      <c r="N233" s="20" t="n">
        <v>3.22797</v>
      </c>
      <c r="O233" s="20" t="n">
        <v>3.24499</v>
      </c>
      <c r="P233" s="20" t="n">
        <v>3.286623</v>
      </c>
      <c r="Q233" s="20" t="n">
        <v>3.273298</v>
      </c>
      <c r="R233" s="20" t="n">
        <v>3.238355</v>
      </c>
      <c r="S233" s="20" t="n">
        <v>3.269825</v>
      </c>
      <c r="T233" s="23">
        <f>IFERROR(AVERAGE(D233:S233),"")</f>
        <v/>
      </c>
    </row>
    <row r="234">
      <c r="A234" s="22" t="n">
        <v>45026</v>
      </c>
      <c r="B234" s="22" t="n">
        <v>45030</v>
      </c>
      <c r="C234">
        <f>TEXT(A234,"yyyy-mm")</f>
        <v/>
      </c>
      <c r="D234" s="20" t="n">
        <v>3.144094</v>
      </c>
      <c r="E234" s="20" t="n">
        <v>3.139994</v>
      </c>
      <c r="F234" s="20" t="n">
        <v>3.136398</v>
      </c>
      <c r="G234" s="20" t="n">
        <v>3.143978</v>
      </c>
      <c r="H234" s="20" t="n">
        <v>3.152278</v>
      </c>
      <c r="I234" s="20" t="n">
        <v>3.138002</v>
      </c>
      <c r="J234" s="20" t="n">
        <v>3.167714</v>
      </c>
      <c r="K234" s="20" t="n">
        <v>3.284882</v>
      </c>
      <c r="L234" s="20" t="n">
        <v>3.325648</v>
      </c>
      <c r="M234" s="20" t="n">
        <v>3.345608</v>
      </c>
      <c r="N234" s="20" t="n">
        <v>3.185384</v>
      </c>
      <c r="O234" s="20" t="n">
        <v>3.202072</v>
      </c>
      <c r="P234" s="20" t="n">
        <v>3.242896</v>
      </c>
      <c r="Q234" s="20" t="n">
        <v>3.229834</v>
      </c>
      <c r="R234" s="20" t="n">
        <v>3.195212</v>
      </c>
      <c r="S234" s="20" t="n">
        <v>3.22472</v>
      </c>
      <c r="T234" s="23">
        <f>IFERROR(AVERAGE(D234:S234),"")</f>
        <v/>
      </c>
    </row>
    <row r="235">
      <c r="A235" s="22" t="n">
        <v>45033</v>
      </c>
      <c r="B235" s="22" t="n">
        <v>45037</v>
      </c>
      <c r="C235">
        <f>TEXT(A235,"yyyy-mm")</f>
        <v/>
      </c>
      <c r="D235" s="20" t="n">
        <v>3.008176</v>
      </c>
      <c r="E235" s="20" t="n">
        <v>3.004574</v>
      </c>
      <c r="F235" s="20" t="n">
        <v>3.0017</v>
      </c>
      <c r="G235" s="20" t="n">
        <v>3.00759</v>
      </c>
      <c r="H235" s="20" t="n">
        <v>3.013896</v>
      </c>
      <c r="I235" s="20" t="n">
        <v>2.999516</v>
      </c>
      <c r="J235" s="20" t="n">
        <v>3.025518</v>
      </c>
      <c r="K235" s="20" t="n">
        <v>3.151504</v>
      </c>
      <c r="L235" s="20" t="n">
        <v>3.188814</v>
      </c>
      <c r="M235" s="20" t="n">
        <v>3.20895</v>
      </c>
      <c r="N235" s="20" t="n">
        <v>3.047296</v>
      </c>
      <c r="O235" s="20" t="n">
        <v>3.064134</v>
      </c>
      <c r="P235" s="20" t="n">
        <v>3.10532</v>
      </c>
      <c r="Q235" s="20" t="n">
        <v>3.092142</v>
      </c>
      <c r="R235" s="20" t="n">
        <v>3.057234</v>
      </c>
      <c r="S235" s="20" t="n">
        <v>3.083036</v>
      </c>
      <c r="T235" s="23">
        <f>IFERROR(AVERAGE(D235:S235),"")</f>
        <v/>
      </c>
    </row>
    <row r="236">
      <c r="A236" s="22" t="n">
        <v>45040</v>
      </c>
      <c r="B236" s="22" t="n">
        <v>45044</v>
      </c>
      <c r="C236">
        <f>TEXT(A236,"yyyy-mm")</f>
        <v/>
      </c>
      <c r="D236" s="20" t="n">
        <v>2.93782</v>
      </c>
      <c r="E236" s="20" t="n">
        <v>2.93459</v>
      </c>
      <c r="F236" s="20" t="n">
        <v>2.932166</v>
      </c>
      <c r="G236" s="20" t="n">
        <v>2.937084</v>
      </c>
      <c r="H236" s="20" t="n">
        <v>2.942298</v>
      </c>
      <c r="I236" s="20" t="n">
        <v>2.92783</v>
      </c>
      <c r="J236" s="20" t="n">
        <v>2.951884</v>
      </c>
      <c r="K236" s="20" t="n">
        <v>3.082352</v>
      </c>
      <c r="L236" s="20" t="n">
        <v>3.117656</v>
      </c>
      <c r="M236" s="20" t="n">
        <v>3.137842</v>
      </c>
      <c r="N236" s="20" t="n">
        <v>2.975782</v>
      </c>
      <c r="O236" s="20" t="n">
        <v>2.99266</v>
      </c>
      <c r="P236" s="20" t="n">
        <v>3.033954</v>
      </c>
      <c r="Q236" s="20" t="n">
        <v>3.020738</v>
      </c>
      <c r="R236" s="20" t="n">
        <v>2.985696</v>
      </c>
      <c r="S236" s="20" t="n">
        <v>3.009542</v>
      </c>
      <c r="T236" s="23">
        <f>IFERROR(AVERAGE(D236:S236),"")</f>
        <v/>
      </c>
    </row>
    <row r="237">
      <c r="A237" s="22" t="n">
        <v>45047</v>
      </c>
      <c r="B237" s="22" t="n">
        <v>45051</v>
      </c>
      <c r="C237">
        <f>TEXT(A237,"yyyy-mm")</f>
        <v/>
      </c>
      <c r="D237" s="20" t="n">
        <v>2.703274</v>
      </c>
      <c r="E237" s="20" t="n">
        <v>2.700002</v>
      </c>
      <c r="F237" s="20" t="n">
        <v>2.697472</v>
      </c>
      <c r="G237" s="20" t="n">
        <v>2.702646</v>
      </c>
      <c r="H237" s="20" t="n">
        <v>2.708172</v>
      </c>
      <c r="I237" s="20" t="n">
        <v>2.693722</v>
      </c>
      <c r="J237" s="20" t="n">
        <v>2.71836</v>
      </c>
      <c r="K237" s="20" t="n">
        <v>2.846616</v>
      </c>
      <c r="L237" s="20" t="n">
        <v>2.882318</v>
      </c>
      <c r="M237" s="20" t="n">
        <v>2.902364</v>
      </c>
      <c r="N237" s="20" t="n">
        <v>2.741428</v>
      </c>
      <c r="O237" s="20" t="n">
        <v>2.75819</v>
      </c>
      <c r="P237" s="20" t="n">
        <v>2.799194</v>
      </c>
      <c r="Q237" s="20" t="n">
        <v>2.786074</v>
      </c>
      <c r="R237" s="20" t="n">
        <v>2.751186</v>
      </c>
      <c r="S237" s="20" t="n">
        <v>2.775616</v>
      </c>
      <c r="T237" s="23">
        <f>IFERROR(AVERAGE(D237:S237),"")</f>
        <v/>
      </c>
    </row>
    <row r="238">
      <c r="A238" s="22" t="n">
        <v>45054</v>
      </c>
      <c r="B238" s="22" t="n">
        <v>45058</v>
      </c>
      <c r="C238">
        <f>TEXT(A238,"yyyy-mm")</f>
        <v/>
      </c>
      <c r="D238" s="20" t="n">
        <v>2.641202</v>
      </c>
      <c r="E238" s="20" t="n">
        <v>2.638354</v>
      </c>
      <c r="F238" s="20" t="n">
        <v>2.63603</v>
      </c>
      <c r="G238" s="20" t="n">
        <v>2.640852</v>
      </c>
      <c r="H238" s="20" t="n">
        <v>2.646058</v>
      </c>
      <c r="I238" s="20" t="n">
        <v>2.631546</v>
      </c>
      <c r="J238" s="20" t="n">
        <v>2.655698</v>
      </c>
      <c r="K238" s="20" t="n">
        <v>2.784356</v>
      </c>
      <c r="L238" s="20" t="n">
        <v>2.819244</v>
      </c>
      <c r="M238" s="20" t="n">
        <v>2.839184</v>
      </c>
      <c r="N238" s="20" t="n">
        <v>2.67913</v>
      </c>
      <c r="O238" s="20" t="n">
        <v>2.695798</v>
      </c>
      <c r="P238" s="20" t="n">
        <v>2.73658</v>
      </c>
      <c r="Q238" s="20" t="n">
        <v>2.723532</v>
      </c>
      <c r="R238" s="20" t="n">
        <v>2.688696</v>
      </c>
      <c r="S238" s="20" t="n">
        <v>2.712646</v>
      </c>
      <c r="T238" s="23">
        <f>IFERROR(AVERAGE(D238:S238),"")</f>
        <v/>
      </c>
    </row>
    <row r="239">
      <c r="A239" s="22" t="n">
        <v>45061</v>
      </c>
      <c r="B239" s="22" t="n">
        <v>45065</v>
      </c>
      <c r="C239">
        <f>TEXT(A239,"yyyy-mm")</f>
        <v/>
      </c>
      <c r="D239" s="20" t="n">
        <v>2.67536</v>
      </c>
      <c r="E239" s="20" t="n">
        <v>2.672664</v>
      </c>
      <c r="F239" s="20" t="n">
        <v>2.670436</v>
      </c>
      <c r="G239" s="20" t="n">
        <v>2.67501</v>
      </c>
      <c r="H239" s="20" t="n">
        <v>2.67991</v>
      </c>
      <c r="I239" s="20" t="n">
        <v>2.665386</v>
      </c>
      <c r="J239" s="20" t="n">
        <v>2.68895</v>
      </c>
      <c r="K239" s="20" t="n">
        <v>2.818172</v>
      </c>
      <c r="L239" s="20" t="n">
        <v>2.85241</v>
      </c>
      <c r="M239" s="20" t="n">
        <v>2.872268</v>
      </c>
      <c r="N239" s="20" t="n">
        <v>2.712848</v>
      </c>
      <c r="O239" s="20" t="n">
        <v>2.729452</v>
      </c>
      <c r="P239" s="20" t="n">
        <v>2.770072</v>
      </c>
      <c r="Q239" s="20" t="n">
        <v>2.757074</v>
      </c>
      <c r="R239" s="20" t="n">
        <v>2.722308</v>
      </c>
      <c r="S239" s="20" t="n">
        <v>2.745672</v>
      </c>
      <c r="T239" s="23">
        <f>IFERROR(AVERAGE(D239:S239),"")</f>
        <v/>
      </c>
    </row>
    <row r="240">
      <c r="A240" s="22" t="n">
        <v>45068</v>
      </c>
      <c r="B240" s="22" t="n">
        <v>45072</v>
      </c>
      <c r="C240">
        <f>TEXT(A240,"yyyy-mm")</f>
        <v/>
      </c>
      <c r="D240" s="20" t="n">
        <v>2.784756</v>
      </c>
      <c r="E240" s="20" t="n">
        <v>2.78103</v>
      </c>
      <c r="F240" s="20" t="n">
        <v>2.777802</v>
      </c>
      <c r="G240" s="20" t="n">
        <v>2.784592</v>
      </c>
      <c r="H240" s="20" t="n">
        <v>2.792016</v>
      </c>
      <c r="I240" s="20" t="n">
        <v>2.777668</v>
      </c>
      <c r="J240" s="20" t="n">
        <v>2.805808</v>
      </c>
      <c r="K240" s="20" t="n">
        <v>2.92647</v>
      </c>
      <c r="L240" s="20" t="n">
        <v>2.965602</v>
      </c>
      <c r="M240" s="20" t="n">
        <v>2.98559</v>
      </c>
      <c r="N240" s="20" t="n">
        <v>2.82516</v>
      </c>
      <c r="O240" s="20" t="n">
        <v>2.841868</v>
      </c>
      <c r="P240" s="20" t="n">
        <v>2.882744</v>
      </c>
      <c r="Q240" s="20" t="n">
        <v>2.869664</v>
      </c>
      <c r="R240" s="20" t="n">
        <v>2.83495</v>
      </c>
      <c r="S240" s="20" t="n">
        <v>2.862888</v>
      </c>
      <c r="T240" s="23">
        <f>IFERROR(AVERAGE(D240:S240),"")</f>
        <v/>
      </c>
    </row>
    <row r="241">
      <c r="A241" s="22" t="n">
        <v>45075</v>
      </c>
      <c r="B241" s="22" t="n">
        <v>45079</v>
      </c>
      <c r="C241">
        <f>TEXT(A241,"yyyy-mm")</f>
        <v/>
      </c>
      <c r="D241" s="20" t="n">
        <v>2.74531</v>
      </c>
      <c r="E241" s="20" t="n">
        <v>2.741568</v>
      </c>
      <c r="F241" s="20" t="n">
        <v>2.738513</v>
      </c>
      <c r="G241" s="20" t="n">
        <v>2.74485</v>
      </c>
      <c r="H241" s="20" t="n">
        <v>2.75169</v>
      </c>
      <c r="I241" s="20" t="n">
        <v>2.73733</v>
      </c>
      <c r="J241" s="20" t="n">
        <v>2.76435</v>
      </c>
      <c r="K241" s="20" t="n">
        <v>2.88865</v>
      </c>
      <c r="L241" s="20" t="n">
        <v>2.92699</v>
      </c>
      <c r="M241" s="20" t="n">
        <v>2.94717</v>
      </c>
      <c r="N241" s="20" t="n">
        <v>2.785165</v>
      </c>
      <c r="O241" s="20" t="n">
        <v>2.802035</v>
      </c>
      <c r="P241" s="20" t="n">
        <v>2.843315</v>
      </c>
      <c r="Q241" s="20" t="n">
        <v>2.83011</v>
      </c>
      <c r="R241" s="20" t="n">
        <v>2.795175</v>
      </c>
      <c r="S241" s="20" t="n">
        <v>2.821993</v>
      </c>
      <c r="T241" s="23">
        <f>IFERROR(AVERAGE(D241:S241),"")</f>
        <v/>
      </c>
    </row>
    <row r="242">
      <c r="A242" s="22" t="n">
        <v>45082</v>
      </c>
      <c r="B242" s="22" t="n">
        <v>45086</v>
      </c>
      <c r="C242">
        <f>TEXT(A242,"yyyy-mm")</f>
        <v/>
      </c>
      <c r="D242" s="20" t="n">
        <v>2.776562</v>
      </c>
      <c r="E242" s="20" t="n">
        <v>2.773294</v>
      </c>
      <c r="F242" s="20" t="n">
        <v>2.770456</v>
      </c>
      <c r="G242" s="20" t="n">
        <v>2.776424</v>
      </c>
      <c r="H242" s="20" t="n">
        <v>2.782944</v>
      </c>
      <c r="I242" s="20" t="n">
        <v>2.768518</v>
      </c>
      <c r="J242" s="20" t="n">
        <v>2.795066</v>
      </c>
      <c r="K242" s="20" t="n">
        <v>2.917132</v>
      </c>
      <c r="L242" s="20" t="n">
        <v>2.954206</v>
      </c>
      <c r="M242" s="20" t="n">
        <v>2.97392</v>
      </c>
      <c r="N242" s="20" t="n">
        <v>2.815648</v>
      </c>
      <c r="O242" s="20" t="n">
        <v>2.832132</v>
      </c>
      <c r="P242" s="20" t="n">
        <v>2.872458</v>
      </c>
      <c r="Q242" s="20" t="n">
        <v>2.859554</v>
      </c>
      <c r="R242" s="20" t="n">
        <v>2.825032</v>
      </c>
      <c r="S242" s="20" t="n">
        <v>2.85138</v>
      </c>
      <c r="T242" s="23">
        <f>IFERROR(AVERAGE(D242:S242),"")</f>
        <v/>
      </c>
    </row>
    <row r="243">
      <c r="A243" s="22" t="n">
        <v>45089</v>
      </c>
      <c r="B243" s="22" t="n">
        <v>45093</v>
      </c>
      <c r="C243">
        <f>TEXT(A243,"yyyy-mm")</f>
        <v/>
      </c>
      <c r="D243" s="20" t="n">
        <v>2.749972</v>
      </c>
      <c r="E243" s="20" t="n">
        <v>2.747082</v>
      </c>
      <c r="F243" s="20" t="n">
        <v>2.744642</v>
      </c>
      <c r="G243" s="20" t="n">
        <v>2.749736</v>
      </c>
      <c r="H243" s="20" t="n">
        <v>2.75527</v>
      </c>
      <c r="I243" s="20" t="n">
        <v>2.740772</v>
      </c>
      <c r="J243" s="20" t="n">
        <v>2.765538</v>
      </c>
      <c r="K243" s="20" t="n">
        <v>2.88935</v>
      </c>
      <c r="L243" s="20" t="n">
        <v>2.92423</v>
      </c>
      <c r="M243" s="20" t="n">
        <v>2.94368</v>
      </c>
      <c r="N243" s="20" t="n">
        <v>2.787534</v>
      </c>
      <c r="O243" s="20" t="n">
        <v>2.803796</v>
      </c>
      <c r="P243" s="20" t="n">
        <v>2.843582</v>
      </c>
      <c r="Q243" s="20" t="n">
        <v>2.83085</v>
      </c>
      <c r="R243" s="20" t="n">
        <v>2.796526</v>
      </c>
      <c r="S243" s="20" t="n">
        <v>2.821094</v>
      </c>
      <c r="T243" s="23">
        <f>IFERROR(AVERAGE(D243:S243),"")</f>
        <v/>
      </c>
    </row>
    <row r="244">
      <c r="A244" s="22" t="n">
        <v>45096</v>
      </c>
      <c r="B244" s="22" t="n">
        <v>45100</v>
      </c>
      <c r="C244">
        <f>TEXT(A244,"yyyy-mm")</f>
        <v/>
      </c>
      <c r="D244" s="20" t="n">
        <v>2.70921</v>
      </c>
      <c r="E244" s="20" t="n">
        <v>2.705898</v>
      </c>
      <c r="F244" s="20" t="n">
        <v>2.70317</v>
      </c>
      <c r="G244" s="20" t="n">
        <v>2.708833</v>
      </c>
      <c r="H244" s="20" t="n">
        <v>2.714953</v>
      </c>
      <c r="I244" s="20" t="n">
        <v>2.700523</v>
      </c>
      <c r="J244" s="20" t="n">
        <v>2.72628</v>
      </c>
      <c r="K244" s="20" t="n">
        <v>2.845863</v>
      </c>
      <c r="L244" s="20" t="n">
        <v>2.881558</v>
      </c>
      <c r="M244" s="20" t="n">
        <v>2.90074</v>
      </c>
      <c r="N244" s="20" t="n">
        <v>2.746765</v>
      </c>
      <c r="O244" s="20" t="n">
        <v>2.762805</v>
      </c>
      <c r="P244" s="20" t="n">
        <v>2.802033</v>
      </c>
      <c r="Q244" s="20" t="n">
        <v>2.789483</v>
      </c>
      <c r="R244" s="20" t="n">
        <v>2.755498</v>
      </c>
      <c r="S244" s="20" t="n">
        <v>2.781065</v>
      </c>
      <c r="T244" s="23">
        <f>IFERROR(AVERAGE(D244:S244),"")</f>
        <v/>
      </c>
    </row>
    <row r="245">
      <c r="A245" s="22" t="n">
        <v>45103</v>
      </c>
      <c r="B245" s="22" t="n">
        <v>45107</v>
      </c>
      <c r="C245">
        <f>TEXT(A245,"yyyy-mm")</f>
        <v/>
      </c>
      <c r="D245" s="20" t="n">
        <v>2.561544</v>
      </c>
      <c r="E245" s="20" t="n">
        <v>2.557852</v>
      </c>
      <c r="F245" s="20" t="n">
        <v>2.55469</v>
      </c>
      <c r="G245" s="20" t="n">
        <v>2.561328</v>
      </c>
      <c r="H245" s="20" t="n">
        <v>2.568564</v>
      </c>
      <c r="I245" s="20" t="n">
        <v>2.55421</v>
      </c>
      <c r="J245" s="20" t="n">
        <v>2.582006</v>
      </c>
      <c r="K245" s="20" t="n">
        <v>2.698464</v>
      </c>
      <c r="L245" s="20" t="n">
        <v>2.736436</v>
      </c>
      <c r="M245" s="20" t="n">
        <v>2.755766</v>
      </c>
      <c r="N245" s="20" t="n">
        <v>2.600618</v>
      </c>
      <c r="O245" s="20" t="n">
        <v>2.616778</v>
      </c>
      <c r="P245" s="20" t="n">
        <v>2.656308</v>
      </c>
      <c r="Q245" s="20" t="n">
        <v>2.64366</v>
      </c>
      <c r="R245" s="20" t="n">
        <v>2.609606</v>
      </c>
      <c r="S245" s="20" t="n">
        <v>2.637206</v>
      </c>
      <c r="T245" s="23">
        <f>IFERROR(AVERAGE(D245:S245),"")</f>
        <v/>
      </c>
    </row>
    <row r="246">
      <c r="A246" s="22" t="n">
        <v>45110</v>
      </c>
      <c r="B246" s="22" t="n">
        <v>45114</v>
      </c>
      <c r="C246">
        <f>TEXT(A246,"yyyy-mm")</f>
        <v/>
      </c>
      <c r="D246" s="20" t="n">
        <v>2.541213</v>
      </c>
      <c r="E246" s="20" t="n">
        <v>2.537463</v>
      </c>
      <c r="F246" s="20" t="n">
        <v>2.534447</v>
      </c>
      <c r="G246" s="20" t="n">
        <v>2.540683</v>
      </c>
      <c r="H246" s="20" t="n">
        <v>2.547397</v>
      </c>
      <c r="I246" s="20" t="n">
        <v>2.53303</v>
      </c>
      <c r="J246" s="20" t="n">
        <v>2.55981</v>
      </c>
      <c r="K246" s="20" t="n">
        <v>2.679993</v>
      </c>
      <c r="L246" s="20" t="n">
        <v>2.71734</v>
      </c>
      <c r="M246" s="20" t="n">
        <v>2.7369</v>
      </c>
      <c r="N246" s="20" t="n">
        <v>2.579847</v>
      </c>
      <c r="O246" s="20" t="n">
        <v>2.5962</v>
      </c>
      <c r="P246" s="20" t="n">
        <v>2.63622</v>
      </c>
      <c r="Q246" s="20" t="n">
        <v>2.623417</v>
      </c>
      <c r="R246" s="20" t="n">
        <v>2.58911</v>
      </c>
      <c r="S246" s="20" t="n">
        <v>2.61569</v>
      </c>
      <c r="T246" s="23">
        <f>IFERROR(AVERAGE(D246:S246),"")</f>
        <v/>
      </c>
    </row>
    <row r="247">
      <c r="A247" s="22" t="n">
        <v>45117</v>
      </c>
      <c r="B247" s="22" t="n">
        <v>45121</v>
      </c>
      <c r="C247">
        <f>TEXT(A247,"yyyy-mm")</f>
        <v/>
      </c>
      <c r="D247" s="20" t="n">
        <v>2.613872</v>
      </c>
      <c r="E247" s="20" t="n">
        <v>2.61047</v>
      </c>
      <c r="F247" s="20" t="n">
        <v>2.607626</v>
      </c>
      <c r="G247" s="20" t="n">
        <v>2.613562</v>
      </c>
      <c r="H247" s="20" t="n">
        <v>2.620008</v>
      </c>
      <c r="I247" s="20" t="n">
        <v>2.605596</v>
      </c>
      <c r="J247" s="20" t="n">
        <v>2.631954</v>
      </c>
      <c r="K247" s="20" t="n">
        <v>2.751912</v>
      </c>
      <c r="L247" s="20" t="n">
        <v>2.788476</v>
      </c>
      <c r="M247" s="20" t="n">
        <v>2.80787</v>
      </c>
      <c r="N247" s="20" t="n">
        <v>2.652174</v>
      </c>
      <c r="O247" s="20" t="n">
        <v>2.668392</v>
      </c>
      <c r="P247" s="20" t="n">
        <v>2.708062</v>
      </c>
      <c r="Q247" s="20" t="n">
        <v>2.695366</v>
      </c>
      <c r="R247" s="20" t="n">
        <v>2.661186</v>
      </c>
      <c r="S247" s="20" t="n">
        <v>2.687348</v>
      </c>
      <c r="T247" s="23">
        <f>IFERROR(AVERAGE(D247:S247),"")</f>
        <v/>
      </c>
    </row>
    <row r="248">
      <c r="A248" s="22" t="n">
        <v>45124</v>
      </c>
      <c r="B248" s="22" t="n">
        <v>45128</v>
      </c>
      <c r="C248">
        <f>TEXT(A248,"yyyy-mm")</f>
        <v/>
      </c>
      <c r="D248" s="20" t="n">
        <v>2.699388</v>
      </c>
      <c r="E248" s="20" t="n">
        <v>2.695092</v>
      </c>
      <c r="F248" s="20" t="n">
        <v>2.691614</v>
      </c>
      <c r="G248" s="20" t="n">
        <v>2.69882</v>
      </c>
      <c r="H248" s="20" t="n">
        <v>2.706596</v>
      </c>
      <c r="I248" s="20" t="n">
        <v>2.69233</v>
      </c>
      <c r="J248" s="20" t="n">
        <v>2.720984</v>
      </c>
      <c r="K248" s="20" t="n">
        <v>2.834876</v>
      </c>
      <c r="L248" s="20" t="n">
        <v>2.87387</v>
      </c>
      <c r="M248" s="20" t="n">
        <v>2.89313</v>
      </c>
      <c r="N248" s="20" t="n">
        <v>2.73854</v>
      </c>
      <c r="O248" s="20" t="n">
        <v>2.75464</v>
      </c>
      <c r="P248" s="20" t="n">
        <v>2.794026</v>
      </c>
      <c r="Q248" s="20" t="n">
        <v>2.781426</v>
      </c>
      <c r="R248" s="20" t="n">
        <v>2.747526</v>
      </c>
      <c r="S248" s="20" t="n">
        <v>2.775986</v>
      </c>
      <c r="T248" s="23">
        <f>IFERROR(AVERAGE(D248:S248),"")</f>
        <v/>
      </c>
    </row>
    <row r="249">
      <c r="A249" s="22" t="n">
        <v>45131</v>
      </c>
      <c r="B249" s="22" t="n">
        <v>45135</v>
      </c>
      <c r="C249">
        <f>TEXT(A249,"yyyy-mm")</f>
        <v/>
      </c>
      <c r="D249" s="20" t="n">
        <v>2.886852</v>
      </c>
      <c r="E249" s="20" t="n">
        <v>2.882848</v>
      </c>
      <c r="F249" s="20" t="n">
        <v>2.879314</v>
      </c>
      <c r="G249" s="20" t="n">
        <v>2.886786</v>
      </c>
      <c r="H249" s="20" t="n">
        <v>2.894966</v>
      </c>
      <c r="I249" s="20" t="n">
        <v>2.880674</v>
      </c>
      <c r="J249" s="20" t="n">
        <v>2.910196</v>
      </c>
      <c r="K249" s="20" t="n">
        <v>3.020864</v>
      </c>
      <c r="L249" s="20" t="n">
        <v>3.06024</v>
      </c>
      <c r="M249" s="20" t="n">
        <v>3.079266</v>
      </c>
      <c r="N249" s="20" t="n">
        <v>2.926524</v>
      </c>
      <c r="O249" s="20" t="n">
        <v>2.942432</v>
      </c>
      <c r="P249" s="20" t="n">
        <v>2.98135</v>
      </c>
      <c r="Q249" s="20" t="n">
        <v>2.968898</v>
      </c>
      <c r="R249" s="20" t="n">
        <v>2.935212</v>
      </c>
      <c r="S249" s="20" t="n">
        <v>2.964544</v>
      </c>
      <c r="T249" s="23">
        <f>IFERROR(AVERAGE(D249:S249),"")</f>
        <v/>
      </c>
    </row>
    <row r="250">
      <c r="A250" s="22" t="n">
        <v>45138</v>
      </c>
      <c r="B250" s="22" t="n">
        <v>45142</v>
      </c>
      <c r="C250">
        <f>TEXT(A250,"yyyy-mm")</f>
        <v/>
      </c>
      <c r="D250" s="20" t="n">
        <v>2.94371</v>
      </c>
      <c r="E250" s="20" t="n">
        <v>2.939986</v>
      </c>
      <c r="F250" s="20" t="n">
        <v>2.936578</v>
      </c>
      <c r="G250" s="20" t="n">
        <v>2.943838</v>
      </c>
      <c r="H250" s="20" t="n">
        <v>2.951836</v>
      </c>
      <c r="I250" s="20" t="n">
        <v>2.93751</v>
      </c>
      <c r="J250" s="20" t="n">
        <v>2.966772</v>
      </c>
      <c r="K250" s="20" t="n">
        <v>3.0805</v>
      </c>
      <c r="L250" s="20" t="n">
        <v>3.11988</v>
      </c>
      <c r="M250" s="20" t="n">
        <v>3.139228</v>
      </c>
      <c r="N250" s="20" t="n">
        <v>2.983926</v>
      </c>
      <c r="O250" s="20" t="n">
        <v>3.000102</v>
      </c>
      <c r="P250" s="20" t="n">
        <v>3.03967</v>
      </c>
      <c r="Q250" s="20" t="n">
        <v>3.02701</v>
      </c>
      <c r="R250" s="20" t="n">
        <v>2.992958</v>
      </c>
      <c r="S250" s="20" t="n">
        <v>3.022028</v>
      </c>
      <c r="T250" s="23">
        <f>IFERROR(AVERAGE(D250:S250),"")</f>
        <v/>
      </c>
    </row>
    <row r="251">
      <c r="A251" s="22" t="n">
        <v>45145</v>
      </c>
      <c r="B251" s="22" t="n">
        <v>45149</v>
      </c>
      <c r="C251">
        <f>TEXT(A251,"yyyy-mm")</f>
        <v/>
      </c>
      <c r="D251" s="20" t="n">
        <v>2.917646</v>
      </c>
      <c r="E251" s="20" t="n">
        <v>2.91402</v>
      </c>
      <c r="F251" s="20" t="n">
        <v>2.91056</v>
      </c>
      <c r="G251" s="20" t="n">
        <v>2.918002</v>
      </c>
      <c r="H251" s="20" t="n">
        <v>2.92626</v>
      </c>
      <c r="I251" s="20" t="n">
        <v>2.911928</v>
      </c>
      <c r="J251" s="20" t="n">
        <v>2.941714</v>
      </c>
      <c r="K251" s="20" t="n">
        <v>3.056816</v>
      </c>
      <c r="L251" s="20" t="n">
        <v>3.097028</v>
      </c>
      <c r="M251" s="20" t="n">
        <v>3.116688</v>
      </c>
      <c r="N251" s="20" t="n">
        <v>2.958866</v>
      </c>
      <c r="O251" s="20" t="n">
        <v>2.975304</v>
      </c>
      <c r="P251" s="20" t="n">
        <v>3.015516</v>
      </c>
      <c r="Q251" s="20" t="n">
        <v>3.00265</v>
      </c>
      <c r="R251" s="20" t="n">
        <v>2.968276</v>
      </c>
      <c r="S251" s="20" t="n">
        <v>2.997864</v>
      </c>
      <c r="T251" s="23">
        <f>IFERROR(AVERAGE(D251:S251),"")</f>
        <v/>
      </c>
    </row>
    <row r="252">
      <c r="A252" s="22" t="n">
        <v>45152</v>
      </c>
      <c r="B252" s="22" t="n">
        <v>45156</v>
      </c>
      <c r="C252">
        <f>TEXT(A252,"yyyy-mm")</f>
        <v/>
      </c>
      <c r="D252" s="20" t="n">
        <v>3.070476</v>
      </c>
      <c r="E252" s="20" t="n">
        <v>3.065998</v>
      </c>
      <c r="F252" s="20" t="n">
        <v>3.061936</v>
      </c>
      <c r="G252" s="20" t="n">
        <v>3.070562</v>
      </c>
      <c r="H252" s="20" t="n">
        <v>3.080052</v>
      </c>
      <c r="I252" s="20" t="n">
        <v>3.065856</v>
      </c>
      <c r="J252" s="20" t="n">
        <v>3.097744</v>
      </c>
      <c r="K252" s="20" t="n">
        <v>3.210522</v>
      </c>
      <c r="L252" s="20" t="n">
        <v>3.25354</v>
      </c>
      <c r="M252" s="20" t="n">
        <v>3.273514</v>
      </c>
      <c r="N252" s="20" t="n">
        <v>3.11318</v>
      </c>
      <c r="O252" s="20" t="n">
        <v>3.12988</v>
      </c>
      <c r="P252" s="20" t="n">
        <v>3.17073</v>
      </c>
      <c r="Q252" s="20" t="n">
        <v>3.157658</v>
      </c>
      <c r="R252" s="20" t="n">
        <v>3.123104</v>
      </c>
      <c r="S252" s="20" t="n">
        <v>3.154788</v>
      </c>
      <c r="T252" s="23">
        <f>IFERROR(AVERAGE(D252:S252),"")</f>
        <v/>
      </c>
    </row>
    <row r="253">
      <c r="A253" s="22" t="n">
        <v>45159</v>
      </c>
      <c r="B253" s="22" t="n">
        <v>45163</v>
      </c>
      <c r="C253">
        <f>TEXT(A253,"yyyy-mm")</f>
        <v/>
      </c>
      <c r="D253" s="20" t="n">
        <v>2.9507</v>
      </c>
      <c r="E253" s="20" t="n">
        <v>2.946262</v>
      </c>
      <c r="F253" s="20" t="n">
        <v>2.942438</v>
      </c>
      <c r="G253" s="20" t="n">
        <v>2.950468</v>
      </c>
      <c r="H253" s="20" t="n">
        <v>2.959222</v>
      </c>
      <c r="I253" s="20" t="n">
        <v>2.945004</v>
      </c>
      <c r="J253" s="20" t="n">
        <v>2.97549</v>
      </c>
      <c r="K253" s="20" t="n">
        <v>3.088976</v>
      </c>
      <c r="L253" s="20" t="n">
        <v>3.130318</v>
      </c>
      <c r="M253" s="20" t="n">
        <v>3.150016</v>
      </c>
      <c r="N253" s="20" t="n">
        <v>2.991894</v>
      </c>
      <c r="O253" s="20" t="n">
        <v>3.008362</v>
      </c>
      <c r="P253" s="20" t="n">
        <v>3.048648</v>
      </c>
      <c r="Q253" s="20" t="n">
        <v>3.03576</v>
      </c>
      <c r="R253" s="20" t="n">
        <v>3.00146</v>
      </c>
      <c r="S253" s="20" t="n">
        <v>3.03175</v>
      </c>
      <c r="T253" s="23">
        <f>IFERROR(AVERAGE(D253:S253),"")</f>
        <v/>
      </c>
    </row>
    <row r="254">
      <c r="A254" s="22" t="n">
        <v>45166</v>
      </c>
      <c r="B254" s="22" t="n">
        <v>45170</v>
      </c>
      <c r="C254">
        <f>TEXT(A254,"yyyy-mm")</f>
        <v/>
      </c>
      <c r="D254" s="20" t="n">
        <v>2.941788</v>
      </c>
      <c r="E254" s="20" t="n">
        <v>2.93753</v>
      </c>
      <c r="F254" s="20" t="n">
        <v>2.933876</v>
      </c>
      <c r="G254" s="20" t="n">
        <v>2.941544</v>
      </c>
      <c r="H254" s="20" t="n">
        <v>2.9499</v>
      </c>
      <c r="I254" s="20" t="n">
        <v>2.935644</v>
      </c>
      <c r="J254" s="20" t="n">
        <v>2.965418</v>
      </c>
      <c r="K254" s="20" t="n">
        <v>3.080236</v>
      </c>
      <c r="L254" s="20" t="n">
        <v>3.120794</v>
      </c>
      <c r="M254" s="20" t="n">
        <v>3.14047</v>
      </c>
      <c r="N254" s="20" t="n">
        <v>2.982532</v>
      </c>
      <c r="O254" s="20" t="n">
        <v>2.998978</v>
      </c>
      <c r="P254" s="20" t="n">
        <v>3.039222</v>
      </c>
      <c r="Q254" s="20" t="n">
        <v>3.026344</v>
      </c>
      <c r="R254" s="20" t="n">
        <v>2.992038</v>
      </c>
      <c r="S254" s="20" t="n">
        <v>3.021614</v>
      </c>
      <c r="T254" s="23">
        <f>IFERROR(AVERAGE(D254:S254),"")</f>
        <v/>
      </c>
    </row>
    <row r="255">
      <c r="A255" s="22" t="n">
        <v>45173</v>
      </c>
      <c r="B255" s="22" t="n">
        <v>45177</v>
      </c>
      <c r="C255">
        <f>TEXT(A255,"yyyy-mm")</f>
        <v/>
      </c>
      <c r="D255" s="20" t="n">
        <v>3.00128</v>
      </c>
      <c r="E255" s="20" t="n">
        <v>2.996978</v>
      </c>
      <c r="F255" s="20" t="n">
        <v>2.993338</v>
      </c>
      <c r="G255" s="20" t="n">
        <v>3.00096</v>
      </c>
      <c r="H255" s="20" t="n">
        <v>3.009258</v>
      </c>
      <c r="I255" s="20" t="n">
        <v>2.995008</v>
      </c>
      <c r="J255" s="20" t="n">
        <v>3.024655</v>
      </c>
      <c r="K255" s="20" t="n">
        <v>3.142073</v>
      </c>
      <c r="L255" s="20" t="n">
        <v>3.182925</v>
      </c>
      <c r="M255" s="20" t="n">
        <v>3.202923</v>
      </c>
      <c r="N255" s="20" t="n">
        <v>3.042423</v>
      </c>
      <c r="O255" s="20" t="n">
        <v>3.059135</v>
      </c>
      <c r="P255" s="20" t="n">
        <v>3.10003</v>
      </c>
      <c r="Q255" s="20" t="n">
        <v>3.086945</v>
      </c>
      <c r="R255" s="20" t="n">
        <v>3.052315</v>
      </c>
      <c r="S255" s="20" t="n">
        <v>3.081763</v>
      </c>
      <c r="T255" s="23">
        <f>IFERROR(AVERAGE(D255:S255),"")</f>
        <v/>
      </c>
    </row>
    <row r="256">
      <c r="A256" s="22" t="n">
        <v>45180</v>
      </c>
      <c r="B256" s="22" t="n">
        <v>45184</v>
      </c>
      <c r="C256">
        <f>TEXT(A256,"yyyy-mm")</f>
        <v/>
      </c>
      <c r="D256" s="20" t="n">
        <v>3.10817</v>
      </c>
      <c r="E256" s="20" t="n">
        <v>3.104308</v>
      </c>
      <c r="F256" s="20" t="n">
        <v>3.10176</v>
      </c>
      <c r="G256" s="20" t="n">
        <v>3.10674</v>
      </c>
      <c r="H256" s="20" t="n">
        <v>3.111868</v>
      </c>
      <c r="I256" s="20" t="n">
        <v>3.09747</v>
      </c>
      <c r="J256" s="20" t="n">
        <v>3.12116</v>
      </c>
      <c r="K256" s="20" t="n">
        <v>3.248364</v>
      </c>
      <c r="L256" s="20" t="n">
        <v>3.28304</v>
      </c>
      <c r="M256" s="20" t="n">
        <v>3.302746</v>
      </c>
      <c r="N256" s="20" t="n">
        <v>3.144552</v>
      </c>
      <c r="O256" s="20" t="n">
        <v>3.16103</v>
      </c>
      <c r="P256" s="20" t="n">
        <v>3.201334</v>
      </c>
      <c r="Q256" s="20" t="n">
        <v>3.18844</v>
      </c>
      <c r="R256" s="20" t="n">
        <v>3.153954</v>
      </c>
      <c r="S256" s="20" t="n">
        <v>3.177446</v>
      </c>
      <c r="T256" s="23">
        <f>IFERROR(AVERAGE(D256:S256),"")</f>
        <v/>
      </c>
    </row>
    <row r="257">
      <c r="A257" s="22" t="n">
        <v>45187</v>
      </c>
      <c r="B257" s="22" t="n">
        <v>45191</v>
      </c>
      <c r="C257">
        <f>TEXT(A257,"yyyy-mm")</f>
        <v/>
      </c>
      <c r="D257" s="20" t="n">
        <v>3.053864</v>
      </c>
      <c r="E257" s="20" t="n">
        <v>3.050338</v>
      </c>
      <c r="F257" s="20" t="n">
        <v>3.04775</v>
      </c>
      <c r="G257" s="20" t="n">
        <v>3.052968</v>
      </c>
      <c r="H257" s="20" t="n">
        <v>3.05848</v>
      </c>
      <c r="I257" s="20" t="n">
        <v>3.044058</v>
      </c>
      <c r="J257" s="20" t="n">
        <v>3.06858</v>
      </c>
      <c r="K257" s="20" t="n">
        <v>3.19375</v>
      </c>
      <c r="L257" s="20" t="n">
        <v>3.228948</v>
      </c>
      <c r="M257" s="20" t="n">
        <v>3.248574</v>
      </c>
      <c r="N257" s="20" t="n">
        <v>3.09103</v>
      </c>
      <c r="O257" s="20" t="n">
        <v>3.10744</v>
      </c>
      <c r="P257" s="20" t="n">
        <v>3.14758</v>
      </c>
      <c r="Q257" s="20" t="n">
        <v>3.134736</v>
      </c>
      <c r="R257" s="20" t="n">
        <v>3.100308</v>
      </c>
      <c r="S257" s="20" t="n">
        <v>3.124634</v>
      </c>
      <c r="T257" s="23">
        <f>IFERROR(AVERAGE(D257:S257),"")</f>
        <v/>
      </c>
    </row>
    <row r="258">
      <c r="A258" s="22" t="n">
        <v>45194</v>
      </c>
      <c r="B258" s="22" t="n">
        <v>45198</v>
      </c>
      <c r="C258">
        <f>TEXT(A258,"yyyy-mm")</f>
        <v/>
      </c>
      <c r="D258" s="20" t="n">
        <v>3.044446</v>
      </c>
      <c r="E258" s="20" t="n">
        <v>3.03999</v>
      </c>
      <c r="F258" s="20" t="n">
        <v>3.03626</v>
      </c>
      <c r="G258" s="20" t="n">
        <v>3.044036</v>
      </c>
      <c r="H258" s="20" t="n">
        <v>3.052478</v>
      </c>
      <c r="I258" s="20" t="n">
        <v>3.038248</v>
      </c>
      <c r="J258" s="20" t="n">
        <v>3.068132</v>
      </c>
      <c r="K258" s="20" t="n">
        <v>3.186188</v>
      </c>
      <c r="L258" s="20" t="n">
        <v>3.227536</v>
      </c>
      <c r="M258" s="20" t="n">
        <v>3.24769</v>
      </c>
      <c r="N258" s="20" t="n">
        <v>3.08591</v>
      </c>
      <c r="O258" s="20" t="n">
        <v>3.102758</v>
      </c>
      <c r="P258" s="20" t="n">
        <v>3.143978</v>
      </c>
      <c r="Q258" s="20" t="n">
        <v>3.130786</v>
      </c>
      <c r="R258" s="20" t="n">
        <v>3.096014</v>
      </c>
      <c r="S258" s="20" t="n">
        <v>3.125696</v>
      </c>
      <c r="T258" s="23">
        <f>IFERROR(AVERAGE(D258:S258),"")</f>
        <v/>
      </c>
    </row>
    <row r="259">
      <c r="A259" s="22" t="n">
        <v>45201</v>
      </c>
      <c r="B259" s="22" t="n">
        <v>45205</v>
      </c>
      <c r="C259">
        <f>TEXT(A259,"yyyy-mm")</f>
        <v/>
      </c>
      <c r="D259" s="20" t="n">
        <v>2.875844</v>
      </c>
      <c r="E259" s="20" t="n">
        <v>2.87166</v>
      </c>
      <c r="F259" s="20" t="n">
        <v>2.867768</v>
      </c>
      <c r="G259" s="20" t="n">
        <v>2.876092</v>
      </c>
      <c r="H259" s="20" t="n">
        <v>2.885288</v>
      </c>
      <c r="I259" s="20" t="n">
        <v>2.871048</v>
      </c>
      <c r="J259" s="20" t="n">
        <v>2.902474</v>
      </c>
      <c r="K259" s="20" t="n">
        <v>3.021426</v>
      </c>
      <c r="L259" s="20" t="n">
        <v>3.064702</v>
      </c>
      <c r="M259" s="20" t="n">
        <v>3.085358</v>
      </c>
      <c r="N259" s="20" t="n">
        <v>2.91955</v>
      </c>
      <c r="O259" s="20" t="n">
        <v>2.93682</v>
      </c>
      <c r="P259" s="20" t="n">
        <v>2.979066</v>
      </c>
      <c r="Q259" s="20" t="n">
        <v>2.965546</v>
      </c>
      <c r="R259" s="20" t="n">
        <v>2.930254</v>
      </c>
      <c r="S259" s="20" t="n">
        <v>2.961468</v>
      </c>
      <c r="T259" s="23">
        <f>IFERROR(AVERAGE(D259:S259),"")</f>
        <v/>
      </c>
    </row>
    <row r="260">
      <c r="A260" s="22" t="n">
        <v>45208</v>
      </c>
      <c r="B260" s="22" t="n">
        <v>45212</v>
      </c>
      <c r="C260">
        <f>TEXT(A260,"yyyy-mm")</f>
        <v/>
      </c>
      <c r="D260" s="20" t="n">
        <v>2.79741</v>
      </c>
      <c r="E260" s="20" t="n">
        <v>2.793018</v>
      </c>
      <c r="F260" s="20" t="n">
        <v>2.78947</v>
      </c>
      <c r="G260" s="20" t="n">
        <v>2.79681</v>
      </c>
      <c r="H260" s="20" t="n">
        <v>2.804732</v>
      </c>
      <c r="I260" s="20" t="n">
        <v>2.790478</v>
      </c>
      <c r="J260" s="20" t="n">
        <v>2.819378</v>
      </c>
      <c r="K260" s="20" t="n">
        <v>2.941244</v>
      </c>
      <c r="L260" s="20" t="n">
        <v>2.981944</v>
      </c>
      <c r="M260" s="20" t="n">
        <v>3.002344</v>
      </c>
      <c r="N260" s="20" t="n">
        <v>2.838572</v>
      </c>
      <c r="O260" s="20" t="n">
        <v>2.855628</v>
      </c>
      <c r="P260" s="20" t="n">
        <v>2.897358</v>
      </c>
      <c r="Q260" s="20" t="n">
        <v>2.884004</v>
      </c>
      <c r="R260" s="20" t="n">
        <v>2.848956</v>
      </c>
      <c r="S260" s="20" t="n">
        <v>2.87765</v>
      </c>
      <c r="T260" s="23">
        <f>IFERROR(AVERAGE(D260:S260),"")</f>
        <v/>
      </c>
    </row>
    <row r="261">
      <c r="A261" s="22" t="n">
        <v>45215</v>
      </c>
      <c r="B261" s="22" t="n">
        <v>45219</v>
      </c>
      <c r="C261">
        <f>TEXT(A261,"yyyy-mm")</f>
        <v/>
      </c>
      <c r="D261" s="20" t="n">
        <v>2.904338</v>
      </c>
      <c r="E261" s="20" t="n">
        <v>2.900482</v>
      </c>
      <c r="F261" s="20" t="n">
        <v>2.897618</v>
      </c>
      <c r="G261" s="20" t="n">
        <v>2.90342</v>
      </c>
      <c r="H261" s="20" t="n">
        <v>2.909578</v>
      </c>
      <c r="I261" s="20" t="n">
        <v>2.895208</v>
      </c>
      <c r="J261" s="20" t="n">
        <v>2.920878</v>
      </c>
      <c r="K261" s="20" t="n">
        <v>3.04821</v>
      </c>
      <c r="L261" s="20" t="n">
        <v>3.08541</v>
      </c>
      <c r="M261" s="20" t="n">
        <v>3.105654</v>
      </c>
      <c r="N261" s="20" t="n">
        <v>2.943152</v>
      </c>
      <c r="O261" s="20" t="n">
        <v>2.960078</v>
      </c>
      <c r="P261" s="20" t="n">
        <v>3.00148</v>
      </c>
      <c r="Q261" s="20" t="n">
        <v>2.988232</v>
      </c>
      <c r="R261" s="20" t="n">
        <v>2.953232</v>
      </c>
      <c r="S261" s="20" t="n">
        <v>2.978696</v>
      </c>
      <c r="T261" s="23">
        <f>IFERROR(AVERAGE(D261:S261),"")</f>
        <v/>
      </c>
    </row>
    <row r="262">
      <c r="A262" s="22" t="n">
        <v>45222</v>
      </c>
      <c r="B262" s="22" t="n">
        <v>45226</v>
      </c>
      <c r="C262">
        <f>TEXT(A262,"yyyy-mm")</f>
        <v/>
      </c>
      <c r="D262" s="20" t="n">
        <v>2.88905</v>
      </c>
      <c r="E262" s="20" t="n">
        <v>2.88524</v>
      </c>
      <c r="F262" s="20" t="n">
        <v>2.882202</v>
      </c>
      <c r="G262" s="20" t="n">
        <v>2.888464</v>
      </c>
      <c r="H262" s="20" t="n">
        <v>2.895196</v>
      </c>
      <c r="I262" s="20" t="n">
        <v>2.880842</v>
      </c>
      <c r="J262" s="20" t="n">
        <v>2.907634</v>
      </c>
      <c r="K262" s="20" t="n">
        <v>3.031808</v>
      </c>
      <c r="L262" s="20" t="n">
        <v>3.069878</v>
      </c>
      <c r="M262" s="20" t="n">
        <v>3.089988</v>
      </c>
      <c r="N262" s="20" t="n">
        <v>2.928552</v>
      </c>
      <c r="O262" s="20" t="n">
        <v>2.945366</v>
      </c>
      <c r="P262" s="20" t="n">
        <v>2.986496</v>
      </c>
      <c r="Q262" s="20" t="n">
        <v>2.973338</v>
      </c>
      <c r="R262" s="20" t="n">
        <v>2.938484</v>
      </c>
      <c r="S262" s="20" t="n">
        <v>2.965072</v>
      </c>
      <c r="T262" s="23">
        <f>IFERROR(AVERAGE(D262:S262),"")</f>
        <v/>
      </c>
    </row>
    <row r="263">
      <c r="A263" s="22" t="n">
        <v>45229</v>
      </c>
      <c r="B263" s="22" t="n">
        <v>45233</v>
      </c>
      <c r="C263">
        <f>TEXT(A263,"yyyy-mm")</f>
        <v/>
      </c>
      <c r="D263" s="20" t="n">
        <v>2.79617</v>
      </c>
      <c r="E263" s="20" t="n">
        <v>2.792466</v>
      </c>
      <c r="F263" s="20" t="n">
        <v>2.78932</v>
      </c>
      <c r="G263" s="20" t="n">
        <v>2.795906</v>
      </c>
      <c r="H263" s="20" t="n">
        <v>2.803068</v>
      </c>
      <c r="I263" s="20" t="n">
        <v>2.788712</v>
      </c>
      <c r="J263" s="20" t="n">
        <v>2.816364</v>
      </c>
      <c r="K263" s="20" t="n">
        <v>2.938358</v>
      </c>
      <c r="L263" s="20" t="n">
        <v>2.977082</v>
      </c>
      <c r="M263" s="20" t="n">
        <v>2.99712</v>
      </c>
      <c r="N263" s="20" t="n">
        <v>2.836296</v>
      </c>
      <c r="O263" s="20" t="n">
        <v>2.853046</v>
      </c>
      <c r="P263" s="20" t="n">
        <v>2.894024</v>
      </c>
      <c r="Q263" s="20" t="n">
        <v>2.880912</v>
      </c>
      <c r="R263" s="20" t="n">
        <v>2.846134</v>
      </c>
      <c r="S263" s="20" t="n">
        <v>2.873582</v>
      </c>
      <c r="T263" s="23">
        <f>IFERROR(AVERAGE(D263:S263),"")</f>
        <v/>
      </c>
    </row>
    <row r="264">
      <c r="A264" s="22" t="n">
        <v>45236</v>
      </c>
      <c r="B264" s="22" t="n">
        <v>45240</v>
      </c>
      <c r="C264">
        <f>TEXT(A264,"yyyy-mm")</f>
        <v/>
      </c>
      <c r="D264" s="20" t="n">
        <v>2.656746</v>
      </c>
      <c r="E264" s="20" t="n">
        <v>2.652584</v>
      </c>
      <c r="F264" s="20" t="n">
        <v>2.648924</v>
      </c>
      <c r="G264" s="20" t="n">
        <v>2.656646</v>
      </c>
      <c r="H264" s="20" t="n">
        <v>2.665096</v>
      </c>
      <c r="I264" s="20" t="n">
        <v>2.650834</v>
      </c>
      <c r="J264" s="20" t="n">
        <v>2.68082</v>
      </c>
      <c r="K264" s="20" t="n">
        <v>2.795364</v>
      </c>
      <c r="L264" s="20" t="n">
        <v>2.83608</v>
      </c>
      <c r="M264" s="20" t="n">
        <v>2.855764</v>
      </c>
      <c r="N264" s="20" t="n">
        <v>2.697744</v>
      </c>
      <c r="O264" s="20" t="n">
        <v>2.714204</v>
      </c>
      <c r="P264" s="20" t="n">
        <v>2.754466</v>
      </c>
      <c r="Q264" s="20" t="n">
        <v>2.741582</v>
      </c>
      <c r="R264" s="20" t="n">
        <v>2.707256</v>
      </c>
      <c r="S264" s="20" t="n">
        <v>2.737044</v>
      </c>
      <c r="T264" s="23">
        <f>IFERROR(AVERAGE(D264:S264),"")</f>
        <v/>
      </c>
    </row>
    <row r="265">
      <c r="A265" s="22" t="n">
        <v>45243</v>
      </c>
      <c r="B265" s="22" t="n">
        <v>45247</v>
      </c>
      <c r="C265">
        <f>TEXT(A265,"yyyy-mm")</f>
        <v/>
      </c>
      <c r="D265" s="20" t="n">
        <v>2.64618</v>
      </c>
      <c r="E265" s="20" t="n">
        <v>2.641196</v>
      </c>
      <c r="F265" s="20" t="n">
        <v>2.636206</v>
      </c>
      <c r="G265" s="20" t="n">
        <v>2.647024</v>
      </c>
      <c r="H265" s="20" t="n">
        <v>2.659096</v>
      </c>
      <c r="I265" s="20" t="n">
        <v>2.645036</v>
      </c>
      <c r="J265" s="20" t="n">
        <v>2.681744</v>
      </c>
      <c r="K265" s="20" t="n">
        <v>2.782062</v>
      </c>
      <c r="L265" s="20" t="n">
        <v>2.8294</v>
      </c>
      <c r="M265" s="20" t="n">
        <v>2.849006</v>
      </c>
      <c r="N265" s="20" t="n">
        <v>2.691618</v>
      </c>
      <c r="O265" s="20" t="n">
        <v>2.708008</v>
      </c>
      <c r="P265" s="20" t="n">
        <v>2.748108</v>
      </c>
      <c r="Q265" s="20" t="n">
        <v>2.73528</v>
      </c>
      <c r="R265" s="20" t="n">
        <v>2.701232</v>
      </c>
      <c r="S265" s="20" t="n">
        <v>2.737742</v>
      </c>
      <c r="T265" s="23">
        <f>IFERROR(AVERAGE(D265:S265),"")</f>
        <v/>
      </c>
    </row>
    <row r="266">
      <c r="A266" s="22" t="n">
        <v>45250</v>
      </c>
      <c r="B266" s="22" t="n">
        <v>45254</v>
      </c>
      <c r="C266">
        <f>TEXT(A266,"yyyy-mm")</f>
        <v/>
      </c>
      <c r="D266" s="20" t="n">
        <v>2.684807</v>
      </c>
      <c r="E266" s="20" t="n">
        <v>2.679387</v>
      </c>
      <c r="F266" s="20" t="n">
        <v>2.673847</v>
      </c>
      <c r="G266" s="20" t="n">
        <v>2.685897</v>
      </c>
      <c r="H266" s="20" t="n">
        <v>2.69938</v>
      </c>
      <c r="I266" s="20" t="n">
        <v>2.685413</v>
      </c>
      <c r="J266" s="20" t="n">
        <v>2.724693</v>
      </c>
      <c r="K266" s="20" t="n">
        <v>2.81978</v>
      </c>
      <c r="L266" s="20" t="n">
        <v>2.869773</v>
      </c>
      <c r="M266" s="20" t="n">
        <v>2.889393</v>
      </c>
      <c r="N266" s="20" t="n">
        <v>2.731917</v>
      </c>
      <c r="O266" s="20" t="n">
        <v>2.748317</v>
      </c>
      <c r="P266" s="20" t="n">
        <v>2.78844</v>
      </c>
      <c r="Q266" s="20" t="n">
        <v>2.775603</v>
      </c>
      <c r="R266" s="20" t="n">
        <v>2.74164</v>
      </c>
      <c r="S266" s="20" t="n">
        <v>2.780723</v>
      </c>
      <c r="T266" s="23">
        <f>IFERROR(AVERAGE(D266:S266),"")</f>
        <v/>
      </c>
    </row>
    <row r="267">
      <c r="A267" s="22" t="n">
        <v>45257</v>
      </c>
      <c r="B267" s="22" t="n">
        <v>45261</v>
      </c>
      <c r="C267">
        <f>TEXT(A267,"yyyy-mm")</f>
        <v/>
      </c>
      <c r="D267" s="20" t="n">
        <v>2.75679</v>
      </c>
      <c r="E267" s="20" t="n">
        <v>2.750742</v>
      </c>
      <c r="F267" s="20" t="n">
        <v>2.744512</v>
      </c>
      <c r="G267" s="20" t="n">
        <v>2.758082</v>
      </c>
      <c r="H267" s="20" t="n">
        <v>2.773272</v>
      </c>
      <c r="I267" s="20" t="n">
        <v>2.759432</v>
      </c>
      <c r="J267" s="20" t="n">
        <v>2.801818</v>
      </c>
      <c r="K267" s="20" t="n">
        <v>2.890648</v>
      </c>
      <c r="L267" s="20" t="n">
        <v>2.943904</v>
      </c>
      <c r="M267" s="20" t="n">
        <v>2.963548</v>
      </c>
      <c r="N267" s="20" t="n">
        <v>2.805856</v>
      </c>
      <c r="O267" s="20" t="n">
        <v>2.82228</v>
      </c>
      <c r="P267" s="20" t="n">
        <v>2.86246</v>
      </c>
      <c r="Q267" s="20" t="n">
        <v>2.849602</v>
      </c>
      <c r="R267" s="20" t="n">
        <v>2.815736</v>
      </c>
      <c r="S267" s="20" t="n">
        <v>2.857922</v>
      </c>
      <c r="T267" s="23">
        <f>IFERROR(AVERAGE(D267:S267),"")</f>
        <v/>
      </c>
    </row>
    <row r="268">
      <c r="A268" s="22" t="n">
        <v>45264</v>
      </c>
      <c r="B268" s="22" t="n">
        <v>45268</v>
      </c>
      <c r="C268">
        <f>TEXT(A268,"yyyy-mm")</f>
        <v/>
      </c>
      <c r="D268" s="20" t="n">
        <v>2.654466</v>
      </c>
      <c r="E268" s="20" t="n">
        <v>2.647998</v>
      </c>
      <c r="F268" s="20" t="n">
        <v>2.641772</v>
      </c>
      <c r="G268" s="20" t="n">
        <v>2.65516</v>
      </c>
      <c r="H268" s="20" t="n">
        <v>2.670022</v>
      </c>
      <c r="I268" s="20" t="n">
        <v>2.656218</v>
      </c>
      <c r="J268" s="20" t="n">
        <v>2.697832</v>
      </c>
      <c r="K268" s="20" t="n">
        <v>2.788892</v>
      </c>
      <c r="L268" s="20" t="n">
        <v>2.8418</v>
      </c>
      <c r="M268" s="20" t="n">
        <v>2.861574</v>
      </c>
      <c r="N268" s="20" t="n">
        <v>2.702822</v>
      </c>
      <c r="O268" s="20" t="n">
        <v>2.719356</v>
      </c>
      <c r="P268" s="20" t="n">
        <v>2.759808</v>
      </c>
      <c r="Q268" s="20" t="n">
        <v>2.746862</v>
      </c>
      <c r="R268" s="20" t="n">
        <v>2.712902</v>
      </c>
      <c r="S268" s="20" t="n">
        <v>2.754316</v>
      </c>
      <c r="T268" s="23">
        <f>IFERROR(AVERAGE(D268:S268),"")</f>
        <v/>
      </c>
    </row>
    <row r="269">
      <c r="A269" s="22" t="n">
        <v>45271</v>
      </c>
      <c r="B269" s="22" t="n">
        <v>45275</v>
      </c>
      <c r="C269">
        <f>TEXT(A269,"yyyy-mm")</f>
        <v/>
      </c>
      <c r="D269" s="20" t="n">
        <v>2.604046</v>
      </c>
      <c r="E269" s="20" t="n">
        <v>2.597896</v>
      </c>
      <c r="F269" s="20" t="n">
        <v>2.592604</v>
      </c>
      <c r="G269" s="20" t="n">
        <v>2.603718</v>
      </c>
      <c r="H269" s="20" t="n">
        <v>2.615838</v>
      </c>
      <c r="I269" s="20" t="n">
        <v>2.601916</v>
      </c>
      <c r="J269" s="20" t="n">
        <v>2.63836</v>
      </c>
      <c r="K269" s="20" t="n">
        <v>2.74008</v>
      </c>
      <c r="L269" s="20" t="n">
        <v>2.788036</v>
      </c>
      <c r="M269" s="20" t="n">
        <v>2.80786</v>
      </c>
      <c r="N269" s="20" t="n">
        <v>2.64872</v>
      </c>
      <c r="O269" s="20" t="n">
        <v>2.665298</v>
      </c>
      <c r="P269" s="20" t="n">
        <v>2.705842</v>
      </c>
      <c r="Q269" s="20" t="n">
        <v>2.692868</v>
      </c>
      <c r="R269" s="20" t="n">
        <v>2.65874</v>
      </c>
      <c r="S269" s="20" t="n">
        <v>2.694982</v>
      </c>
      <c r="T269" s="23">
        <f>IFERROR(AVERAGE(D269:S269),"")</f>
        <v/>
      </c>
    </row>
    <row r="270">
      <c r="A270" s="22" t="n">
        <v>45278</v>
      </c>
      <c r="B270" s="22" t="n">
        <v>45282</v>
      </c>
      <c r="C270">
        <f>TEXT(A270,"yyyy-mm")</f>
        <v/>
      </c>
      <c r="D270" s="20" t="n">
        <v>2.740792</v>
      </c>
      <c r="E270" s="20" t="n">
        <v>2.735736</v>
      </c>
      <c r="F270" s="20" t="n">
        <v>2.731206</v>
      </c>
      <c r="G270" s="20" t="n">
        <v>2.740804</v>
      </c>
      <c r="H270" s="20" t="n">
        <v>2.751342</v>
      </c>
      <c r="I270" s="20" t="n">
        <v>2.737248</v>
      </c>
      <c r="J270" s="20" t="n">
        <v>2.770978</v>
      </c>
      <c r="K270" s="20" t="n">
        <v>2.87711</v>
      </c>
      <c r="L270" s="20" t="n">
        <v>2.921704</v>
      </c>
      <c r="M270" s="20" t="n">
        <v>2.941316</v>
      </c>
      <c r="N270" s="20" t="n">
        <v>2.783874</v>
      </c>
      <c r="O270" s="20" t="n">
        <v>2.800272</v>
      </c>
      <c r="P270" s="20" t="n">
        <v>2.840388</v>
      </c>
      <c r="Q270" s="20" t="n">
        <v>2.827552</v>
      </c>
      <c r="R270" s="20" t="n">
        <v>2.793464</v>
      </c>
      <c r="S270" s="20" t="n">
        <v>2.826996</v>
      </c>
      <c r="T270" s="23">
        <f>IFERROR(AVERAGE(D270:S270),"")</f>
        <v/>
      </c>
    </row>
    <row r="271">
      <c r="A271" s="22" t="n">
        <v>45285</v>
      </c>
      <c r="B271" s="22" t="n">
        <v>45289</v>
      </c>
      <c r="C271">
        <f>TEXT(A271,"yyyy-mm")</f>
        <v/>
      </c>
      <c r="D271" s="20" t="n">
        <v>2.67941</v>
      </c>
      <c r="E271" s="20" t="n">
        <v>2.67478</v>
      </c>
      <c r="F271" s="20" t="n">
        <v>2.670725</v>
      </c>
      <c r="G271" s="20" t="n">
        <v>2.679273</v>
      </c>
      <c r="H271" s="20" t="n">
        <v>2.688623</v>
      </c>
      <c r="I271" s="20" t="n">
        <v>2.674443</v>
      </c>
      <c r="J271" s="20" t="n">
        <v>2.706013</v>
      </c>
      <c r="K271" s="20" t="n">
        <v>2.815355</v>
      </c>
      <c r="L271" s="20" t="n">
        <v>2.857495</v>
      </c>
      <c r="M271" s="20" t="n">
        <v>2.876935</v>
      </c>
      <c r="N271" s="20" t="n">
        <v>2.720868</v>
      </c>
      <c r="O271" s="20" t="n">
        <v>2.737123</v>
      </c>
      <c r="P271" s="20" t="n">
        <v>2.776885</v>
      </c>
      <c r="Q271" s="20" t="n">
        <v>2.764165</v>
      </c>
      <c r="R271" s="20" t="n">
        <v>2.730165</v>
      </c>
      <c r="S271" s="20" t="n">
        <v>2.761543</v>
      </c>
      <c r="T271" s="23">
        <f>IFERROR(AVERAGE(D271:S271),"")</f>
        <v/>
      </c>
    </row>
    <row r="272">
      <c r="A272" s="22" t="n">
        <v>45292</v>
      </c>
      <c r="B272" s="22" t="n">
        <v>45296</v>
      </c>
      <c r="C272">
        <f>TEXT(A272,"yyyy-mm")</f>
        <v/>
      </c>
      <c r="D272" s="20" t="n">
        <v>2.670918</v>
      </c>
      <c r="E272" s="20" t="n">
        <v>2.670153</v>
      </c>
      <c r="F272" s="20" t="n">
        <v>2.67943</v>
      </c>
      <c r="G272" s="20" t="n">
        <v>2.673655</v>
      </c>
      <c r="H272" s="20" t="n">
        <v>2.678283</v>
      </c>
      <c r="I272" s="20" t="n">
        <v>2.67022</v>
      </c>
      <c r="J272" s="20" t="n">
        <v>2.691763</v>
      </c>
      <c r="K272" s="20" t="n">
        <v>2.825893</v>
      </c>
      <c r="L272" s="20" t="n">
        <v>2.849288</v>
      </c>
      <c r="M272" s="20" t="n">
        <v>2.868978</v>
      </c>
      <c r="N272" s="20" t="n">
        <v>2.710935</v>
      </c>
      <c r="O272" s="20" t="n">
        <v>2.727398</v>
      </c>
      <c r="P272" s="20" t="n">
        <v>2.76766</v>
      </c>
      <c r="Q272" s="20" t="n">
        <v>2.754778</v>
      </c>
      <c r="R272" s="20" t="n">
        <v>2.726648</v>
      </c>
      <c r="S272" s="20" t="n">
        <v>2.747993</v>
      </c>
      <c r="T272" s="23">
        <f>IFERROR(AVERAGE(D272:S272),"")</f>
        <v/>
      </c>
    </row>
    <row r="273">
      <c r="A273" s="22" t="n">
        <v>45299</v>
      </c>
      <c r="B273" s="22" t="n">
        <v>45303</v>
      </c>
      <c r="C273">
        <f>TEXT(A273,"yyyy-mm")</f>
        <v/>
      </c>
      <c r="D273" s="20" t="n">
        <v>2.634424</v>
      </c>
      <c r="E273" s="20" t="n">
        <v>2.6411</v>
      </c>
      <c r="F273" s="20" t="n">
        <v>2.627842</v>
      </c>
      <c r="G273" s="20" t="n">
        <v>2.64464</v>
      </c>
      <c r="H273" s="20" t="n">
        <v>2.641834</v>
      </c>
      <c r="I273" s="20" t="n">
        <v>2.65253</v>
      </c>
      <c r="J273" s="20" t="n">
        <v>2.65545</v>
      </c>
      <c r="K273" s="20" t="n">
        <v>2.773664</v>
      </c>
      <c r="L273" s="20" t="n">
        <v>2.812096</v>
      </c>
      <c r="M273" s="20" t="n">
        <v>2.831696</v>
      </c>
      <c r="N273" s="20" t="n">
        <v>2.674346</v>
      </c>
      <c r="O273" s="20" t="n">
        <v>2.690734</v>
      </c>
      <c r="P273" s="20" t="n">
        <v>2.730826</v>
      </c>
      <c r="Q273" s="20" t="n">
        <v>2.717998</v>
      </c>
      <c r="R273" s="20" t="n">
        <v>2.708714</v>
      </c>
      <c r="S273" s="20" t="n">
        <v>2.711438</v>
      </c>
      <c r="T273" s="23">
        <f>IFERROR(AVERAGE(D273:S273),"")</f>
        <v/>
      </c>
    </row>
    <row r="274">
      <c r="A274" s="22" t="n">
        <v>45306</v>
      </c>
      <c r="B274" s="22" t="n">
        <v>45310</v>
      </c>
      <c r="C274">
        <f>TEXT(A274,"yyyy-mm")</f>
        <v/>
      </c>
      <c r="D274" s="20" t="n">
        <v>2.740395</v>
      </c>
      <c r="E274" s="20" t="n">
        <v>2.747098</v>
      </c>
      <c r="F274" s="20" t="n">
        <v>2.733875</v>
      </c>
      <c r="G274" s="20" t="n">
        <v>2.750593</v>
      </c>
      <c r="H274" s="20" t="n">
        <v>2.747698</v>
      </c>
      <c r="I274" s="20" t="n">
        <v>2.758388</v>
      </c>
      <c r="J274" s="20" t="n">
        <v>2.761145</v>
      </c>
      <c r="K274" s="20" t="n">
        <v>2.88118</v>
      </c>
      <c r="L274" s="20" t="n">
        <v>2.919695</v>
      </c>
      <c r="M274" s="20" t="n">
        <v>2.939493</v>
      </c>
      <c r="N274" s="20" t="n">
        <v>2.780543</v>
      </c>
      <c r="O274" s="20" t="n">
        <v>2.797098</v>
      </c>
      <c r="P274" s="20" t="n">
        <v>2.837598</v>
      </c>
      <c r="Q274" s="20" t="n">
        <v>2.824638</v>
      </c>
      <c r="R274" s="20" t="n">
        <v>2.81514</v>
      </c>
      <c r="S274" s="20" t="n">
        <v>2.8177</v>
      </c>
      <c r="T274" s="23">
        <f>IFERROR(AVERAGE(D274:S274),"")</f>
        <v/>
      </c>
    </row>
    <row r="275">
      <c r="A275" s="22" t="n">
        <v>45313</v>
      </c>
      <c r="B275" s="22" t="n">
        <v>45317</v>
      </c>
      <c r="C275">
        <f>TEXT(A275,"yyyy-mm")</f>
        <v/>
      </c>
      <c r="D275" s="20" t="n">
        <v>2.864894</v>
      </c>
      <c r="E275" s="20" t="n">
        <v>2.871818</v>
      </c>
      <c r="F275" s="20" t="n">
        <v>2.858534</v>
      </c>
      <c r="G275" s="20" t="n">
        <v>2.87553</v>
      </c>
      <c r="H275" s="20" t="n">
        <v>2.873052</v>
      </c>
      <c r="I275" s="20" t="n">
        <v>2.883726</v>
      </c>
      <c r="J275" s="20" t="n">
        <v>2.887356</v>
      </c>
      <c r="K275" s="20" t="n">
        <v>3.006212</v>
      </c>
      <c r="L275" s="20" t="n">
        <v>3.045484</v>
      </c>
      <c r="M275" s="20" t="n">
        <v>3.065338</v>
      </c>
      <c r="N275" s="20" t="n">
        <v>2.905978</v>
      </c>
      <c r="O275" s="20" t="n">
        <v>2.922576</v>
      </c>
      <c r="P275" s="20" t="n">
        <v>2.96318</v>
      </c>
      <c r="Q275" s="20" t="n">
        <v>2.95019</v>
      </c>
      <c r="R275" s="20" t="n">
        <v>2.940622</v>
      </c>
      <c r="S275" s="20" t="n">
        <v>2.944056</v>
      </c>
      <c r="T275" s="23">
        <f>IFERROR(AVERAGE(D275:S275),"")</f>
        <v/>
      </c>
    </row>
    <row r="276">
      <c r="A276" s="22" t="n">
        <v>45320</v>
      </c>
      <c r="B276" s="22" t="n">
        <v>45324</v>
      </c>
      <c r="C276">
        <f>TEXT(A276,"yyyy-mm")</f>
        <v/>
      </c>
      <c r="D276" s="20" t="n">
        <v>2.90022</v>
      </c>
      <c r="E276" s="20" t="n">
        <v>2.906982</v>
      </c>
      <c r="F276" s="20" t="n">
        <v>2.893724</v>
      </c>
      <c r="G276" s="20" t="n">
        <v>2.910568</v>
      </c>
      <c r="H276" s="20" t="n">
        <v>2.907856</v>
      </c>
      <c r="I276" s="20" t="n">
        <v>2.918542</v>
      </c>
      <c r="J276" s="20" t="n">
        <v>2.921668</v>
      </c>
      <c r="K276" s="20" t="n">
        <v>3.041474</v>
      </c>
      <c r="L276" s="20" t="n">
        <v>3.080372</v>
      </c>
      <c r="M276" s="20" t="n">
        <v>3.100232</v>
      </c>
      <c r="N276" s="20" t="n">
        <v>2.9408</v>
      </c>
      <c r="O276" s="20" t="n">
        <v>2.957404</v>
      </c>
      <c r="P276" s="20" t="n">
        <v>2.998026</v>
      </c>
      <c r="Q276" s="20" t="n">
        <v>2.985026</v>
      </c>
      <c r="R276" s="20" t="n">
        <v>2.975468</v>
      </c>
      <c r="S276" s="20" t="n">
        <v>2.978392</v>
      </c>
      <c r="T276" s="23">
        <f>IFERROR(AVERAGE(D276:S276),"")</f>
        <v/>
      </c>
    </row>
    <row r="277">
      <c r="A277" s="22" t="n">
        <v>45327</v>
      </c>
      <c r="B277" s="22" t="n">
        <v>45331</v>
      </c>
      <c r="C277">
        <f>TEXT(A277,"yyyy-mm")</f>
        <v/>
      </c>
      <c r="D277" s="20" t="n">
        <v>2.838492</v>
      </c>
      <c r="E277" s="20" t="n">
        <v>2.84506</v>
      </c>
      <c r="F277" s="20" t="n">
        <v>2.831768</v>
      </c>
      <c r="G277" s="20" t="n">
        <v>2.848622</v>
      </c>
      <c r="H277" s="20" t="n">
        <v>2.845856</v>
      </c>
      <c r="I277" s="20" t="n">
        <v>2.856566</v>
      </c>
      <c r="J277" s="20" t="n">
        <v>2.859538</v>
      </c>
      <c r="K277" s="20" t="n">
        <v>2.980324</v>
      </c>
      <c r="L277" s="20" t="n">
        <v>3.019318</v>
      </c>
      <c r="M277" s="20" t="n">
        <v>3.039286</v>
      </c>
      <c r="N277" s="20" t="n">
        <v>2.87898</v>
      </c>
      <c r="O277" s="20" t="n">
        <v>2.895674</v>
      </c>
      <c r="P277" s="20" t="n">
        <v>2.936518</v>
      </c>
      <c r="Q277" s="20" t="n">
        <v>2.92345</v>
      </c>
      <c r="R277" s="20" t="n">
        <v>2.913802</v>
      </c>
      <c r="S277" s="20" t="n">
        <v>2.916574</v>
      </c>
      <c r="T277" s="23">
        <f>IFERROR(AVERAGE(D277:S277),"")</f>
        <v/>
      </c>
    </row>
    <row r="278">
      <c r="A278" s="22" t="n">
        <v>45334</v>
      </c>
      <c r="B278" s="22" t="n">
        <v>45338</v>
      </c>
      <c r="C278">
        <f>TEXT(A278,"yyyy-mm")</f>
        <v/>
      </c>
      <c r="D278" s="20" t="n">
        <v>2.994516</v>
      </c>
      <c r="E278" s="20" t="n">
        <v>3.000748</v>
      </c>
      <c r="F278" s="20" t="n">
        <v>2.987198</v>
      </c>
      <c r="G278" s="20" t="n">
        <v>3.004546</v>
      </c>
      <c r="H278" s="20" t="n">
        <v>3.002268</v>
      </c>
      <c r="I278" s="20" t="n">
        <v>3.013046</v>
      </c>
      <c r="J278" s="20" t="n">
        <v>3.016858</v>
      </c>
      <c r="K278" s="20" t="n">
        <v>3.135468</v>
      </c>
      <c r="L278" s="20" t="n">
        <v>3.175394</v>
      </c>
      <c r="M278" s="20" t="n">
        <v>3.195326</v>
      </c>
      <c r="N278" s="20" t="n">
        <v>3.03533</v>
      </c>
      <c r="O278" s="20" t="n">
        <v>3.051994</v>
      </c>
      <c r="P278" s="20" t="n">
        <v>3.09276</v>
      </c>
      <c r="Q278" s="20" t="n">
        <v>3.079716</v>
      </c>
      <c r="R278" s="20" t="n">
        <v>3.070172</v>
      </c>
      <c r="S278" s="20" t="n">
        <v>3.073786</v>
      </c>
      <c r="T278" s="23">
        <f>IFERROR(AVERAGE(D278:S278),"")</f>
        <v/>
      </c>
    </row>
    <row r="279">
      <c r="A279" s="22" t="n">
        <v>45341</v>
      </c>
      <c r="B279" s="22" t="n">
        <v>45345</v>
      </c>
      <c r="C279">
        <f>TEXT(A279,"yyyy-mm")</f>
        <v/>
      </c>
      <c r="D279" s="20" t="n">
        <v>2.93995</v>
      </c>
      <c r="E279" s="20" t="n">
        <v>2.946038</v>
      </c>
      <c r="F279" s="20" t="n">
        <v>2.932353</v>
      </c>
      <c r="G279" s="20" t="n">
        <v>2.949975</v>
      </c>
      <c r="H279" s="20" t="n">
        <v>2.947975</v>
      </c>
      <c r="I279" s="20" t="n">
        <v>2.95878</v>
      </c>
      <c r="J279" s="20" t="n">
        <v>2.96309</v>
      </c>
      <c r="K279" s="20" t="n">
        <v>3.080305</v>
      </c>
      <c r="L279" s="20" t="n">
        <v>3.12073</v>
      </c>
      <c r="M279" s="20" t="n">
        <v>3.14062</v>
      </c>
      <c r="N279" s="20" t="n">
        <v>2.980965</v>
      </c>
      <c r="O279" s="20" t="n">
        <v>2.997593</v>
      </c>
      <c r="P279" s="20" t="n">
        <v>3.038273</v>
      </c>
      <c r="Q279" s="20" t="n">
        <v>3.025253</v>
      </c>
      <c r="R279" s="20" t="n">
        <v>3.015788</v>
      </c>
      <c r="S279" s="20" t="n">
        <v>3.019895</v>
      </c>
      <c r="T279" s="23">
        <f>IFERROR(AVERAGE(D279:S279),"")</f>
        <v/>
      </c>
    </row>
    <row r="280">
      <c r="A280" s="22" t="n">
        <v>45348</v>
      </c>
      <c r="B280" s="22" t="n">
        <v>45352</v>
      </c>
      <c r="C280">
        <f>TEXT(A280,"yyyy-mm")</f>
        <v/>
      </c>
      <c r="D280" s="20" t="n">
        <v>2.970144</v>
      </c>
      <c r="E280" s="20" t="n">
        <v>2.976398</v>
      </c>
      <c r="F280" s="20" t="n">
        <v>2.962942</v>
      </c>
      <c r="G280" s="20" t="n">
        <v>2.980066</v>
      </c>
      <c r="H280" s="20" t="n">
        <v>2.977522</v>
      </c>
      <c r="I280" s="20" t="n">
        <v>2.988284</v>
      </c>
      <c r="J280" s="20" t="n">
        <v>2.991588</v>
      </c>
      <c r="K280" s="20" t="n">
        <v>3.111196</v>
      </c>
      <c r="L280" s="20" t="n">
        <v>3.150626</v>
      </c>
      <c r="M280" s="20" t="n">
        <v>3.170554</v>
      </c>
      <c r="N280" s="20" t="n">
        <v>3.010578</v>
      </c>
      <c r="O280" s="20" t="n">
        <v>3.027236</v>
      </c>
      <c r="P280" s="20" t="n">
        <v>3.068</v>
      </c>
      <c r="Q280" s="20" t="n">
        <v>3.054956</v>
      </c>
      <c r="R280" s="20" t="n">
        <v>3.045402</v>
      </c>
      <c r="S280" s="20" t="n">
        <v>3.048508</v>
      </c>
      <c r="T280" s="23">
        <f>IFERROR(AVERAGE(D280:S280),"")</f>
        <v/>
      </c>
    </row>
    <row r="281">
      <c r="A281" s="22" t="n">
        <v>45355</v>
      </c>
      <c r="B281" s="22" t="n">
        <v>45359</v>
      </c>
      <c r="C281">
        <f>TEXT(A281,"yyyy-mm")</f>
        <v/>
      </c>
      <c r="D281" s="20" t="n">
        <v>2.966496</v>
      </c>
      <c r="E281" s="20" t="n">
        <v>2.971846</v>
      </c>
      <c r="F281" s="20" t="n">
        <v>2.9577</v>
      </c>
      <c r="G281" s="20" t="n">
        <v>2.976162</v>
      </c>
      <c r="H281" s="20" t="n">
        <v>2.974954</v>
      </c>
      <c r="I281" s="20" t="n">
        <v>2.98588</v>
      </c>
      <c r="J281" s="20" t="n">
        <v>2.991502</v>
      </c>
      <c r="K281" s="20" t="n">
        <v>3.105678</v>
      </c>
      <c r="L281" s="20" t="n">
        <v>3.147736</v>
      </c>
      <c r="M281" s="20" t="n">
        <v>3.167626</v>
      </c>
      <c r="N281" s="20" t="n">
        <v>3.007946</v>
      </c>
      <c r="O281" s="20" t="n">
        <v>3.024578</v>
      </c>
      <c r="P281" s="20" t="n">
        <v>3.065264</v>
      </c>
      <c r="Q281" s="20" t="n">
        <v>3.052242</v>
      </c>
      <c r="R281" s="20" t="n">
        <v>3.042898</v>
      </c>
      <c r="S281" s="20" t="n">
        <v>3.048316</v>
      </c>
      <c r="T281" s="23">
        <f>IFERROR(AVERAGE(D281:S281),"")</f>
        <v/>
      </c>
    </row>
    <row r="282">
      <c r="A282" s="22" t="n">
        <v>45362</v>
      </c>
      <c r="B282" s="22" t="n">
        <v>45366</v>
      </c>
      <c r="C282">
        <f>TEXT(A282,"yyyy-mm")</f>
        <v/>
      </c>
      <c r="D282" s="20" t="n">
        <v>3.040906</v>
      </c>
      <c r="E282" s="20" t="n">
        <v>3.046066</v>
      </c>
      <c r="F282" s="20" t="n">
        <v>3.03188</v>
      </c>
      <c r="G282" s="20" t="n">
        <v>3.05038</v>
      </c>
      <c r="H282" s="20" t="n">
        <v>3.049154</v>
      </c>
      <c r="I282" s="20" t="n">
        <v>3.06011</v>
      </c>
      <c r="J282" s="20" t="n">
        <v>3.065644</v>
      </c>
      <c r="K282" s="20" t="n">
        <v>3.180694</v>
      </c>
      <c r="L282" s="20" t="n">
        <v>3.222914</v>
      </c>
      <c r="M282" s="20" t="n">
        <v>3.242916</v>
      </c>
      <c r="N282" s="20" t="n">
        <v>3.082332</v>
      </c>
      <c r="O282" s="20" t="n">
        <v>3.099056</v>
      </c>
      <c r="P282" s="20" t="n">
        <v>3.139972</v>
      </c>
      <c r="Q282" s="20" t="n">
        <v>3.126882</v>
      </c>
      <c r="R282" s="20" t="n">
        <v>3.117444</v>
      </c>
      <c r="S282" s="20" t="n">
        <v>3.122776</v>
      </c>
      <c r="T282" s="23">
        <f>IFERROR(AVERAGE(D282:S282),"")</f>
        <v/>
      </c>
    </row>
    <row r="283">
      <c r="A283" s="22" t="n">
        <v>45369</v>
      </c>
      <c r="B283" s="22" t="n">
        <v>45373</v>
      </c>
      <c r="C283">
        <f>TEXT(A283,"yyyy-mm")</f>
        <v/>
      </c>
      <c r="D283" s="20" t="n">
        <v>3.1986</v>
      </c>
      <c r="E283" s="20" t="n">
        <v>3.204238</v>
      </c>
      <c r="F283" s="20" t="n">
        <v>3.190354</v>
      </c>
      <c r="G283" s="20" t="n">
        <v>3.208296</v>
      </c>
      <c r="H283" s="20" t="n">
        <v>3.20655</v>
      </c>
      <c r="I283" s="20" t="n">
        <v>3.217422</v>
      </c>
      <c r="J283" s="20" t="n">
        <v>3.222088</v>
      </c>
      <c r="K283" s="20" t="n">
        <v>3.33974</v>
      </c>
      <c r="L283" s="20" t="n">
        <v>3.380976</v>
      </c>
      <c r="M283" s="20" t="n">
        <v>3.401058</v>
      </c>
      <c r="N283" s="20" t="n">
        <v>3.239856</v>
      </c>
      <c r="O283" s="20" t="n">
        <v>3.256646</v>
      </c>
      <c r="P283" s="20" t="n">
        <v>3.297718</v>
      </c>
      <c r="Q283" s="20" t="n">
        <v>3.284576</v>
      </c>
      <c r="R283" s="20" t="n">
        <v>3.274978</v>
      </c>
      <c r="S283" s="20" t="n">
        <v>3.279444</v>
      </c>
      <c r="T283" s="23">
        <f>IFERROR(AVERAGE(D283:S283),"")</f>
        <v/>
      </c>
    </row>
    <row r="284">
      <c r="A284" s="22" t="n">
        <v>45376</v>
      </c>
      <c r="B284" s="22" t="n">
        <v>45380</v>
      </c>
      <c r="C284">
        <f>TEXT(A284,"yyyy-mm")</f>
        <v/>
      </c>
      <c r="D284" s="20" t="n">
        <v>3.15777</v>
      </c>
      <c r="E284" s="20" t="n">
        <v>3.163145</v>
      </c>
      <c r="F284" s="20" t="n">
        <v>3.148388</v>
      </c>
      <c r="G284" s="20" t="n">
        <v>3.168428</v>
      </c>
      <c r="H284" s="20" t="n">
        <v>3.169153</v>
      </c>
      <c r="I284" s="20" t="n">
        <v>3.180143</v>
      </c>
      <c r="J284" s="20" t="n">
        <v>3.189503</v>
      </c>
      <c r="K284" s="20" t="n">
        <v>3.297355</v>
      </c>
      <c r="L284" s="20" t="n">
        <v>3.34309</v>
      </c>
      <c r="M284" s="20" t="n">
        <v>3.363113</v>
      </c>
      <c r="N284" s="20" t="n">
        <v>3.202365</v>
      </c>
      <c r="O284" s="20" t="n">
        <v>3.219108</v>
      </c>
      <c r="P284" s="20" t="n">
        <v>3.260063</v>
      </c>
      <c r="Q284" s="20" t="n">
        <v>3.246958</v>
      </c>
      <c r="R284" s="20" t="n">
        <v>3.23754</v>
      </c>
      <c r="S284" s="20" t="n">
        <v>3.246693</v>
      </c>
      <c r="T284" s="23">
        <f>IFERROR(AVERAGE(D284:S284),"")</f>
        <v/>
      </c>
    </row>
    <row r="285">
      <c r="A285" s="22" t="n">
        <v>45383</v>
      </c>
      <c r="B285" s="22" t="n">
        <v>45387</v>
      </c>
      <c r="C285">
        <f>TEXT(A285,"yyyy-mm")</f>
        <v/>
      </c>
      <c r="D285" s="20" t="n">
        <v>3.250778</v>
      </c>
      <c r="E285" s="20" t="n">
        <v>3.256266</v>
      </c>
      <c r="F285" s="20" t="n">
        <v>3.241628</v>
      </c>
      <c r="G285" s="20" t="n">
        <v>3.26142</v>
      </c>
      <c r="H285" s="20" t="n">
        <v>3.261886</v>
      </c>
      <c r="I285" s="20" t="n">
        <v>3.272854</v>
      </c>
      <c r="J285" s="20" t="n">
        <v>3.281744</v>
      </c>
      <c r="K285" s="20" t="n">
        <v>3.392504</v>
      </c>
      <c r="L285" s="20" t="n">
        <v>3.438052</v>
      </c>
      <c r="M285" s="20" t="n">
        <v>3.458332</v>
      </c>
      <c r="N285" s="20" t="n">
        <v>3.295524</v>
      </c>
      <c r="O285" s="20" t="n">
        <v>3.312484</v>
      </c>
      <c r="P285" s="20" t="n">
        <v>3.353966</v>
      </c>
      <c r="Q285" s="20" t="n">
        <v>3.340692</v>
      </c>
      <c r="R285" s="20" t="n">
        <v>3.330984</v>
      </c>
      <c r="S285" s="20" t="n">
        <v>3.33967</v>
      </c>
      <c r="T285" s="23">
        <f>IFERROR(AVERAGE(D285:S285),"")</f>
        <v/>
      </c>
    </row>
    <row r="286">
      <c r="A286" s="22" t="n">
        <v>45390</v>
      </c>
      <c r="B286" s="22" t="n">
        <v>45394</v>
      </c>
      <c r="C286">
        <f>TEXT(A286,"yyyy-mm")</f>
        <v/>
      </c>
      <c r="D286" s="20" t="n">
        <v>3.285538</v>
      </c>
      <c r="E286" s="20" t="n">
        <v>3.291194</v>
      </c>
      <c r="F286" s="20" t="n">
        <v>3.276962</v>
      </c>
      <c r="G286" s="20" t="n">
        <v>3.295808</v>
      </c>
      <c r="H286" s="20" t="n">
        <v>3.29517</v>
      </c>
      <c r="I286" s="20" t="n">
        <v>3.306076</v>
      </c>
      <c r="J286" s="20" t="n">
        <v>3.312892</v>
      </c>
      <c r="K286" s="20" t="n">
        <v>3.42828</v>
      </c>
      <c r="L286" s="20" t="n">
        <v>3.47185</v>
      </c>
      <c r="M286" s="20" t="n">
        <v>3.492192</v>
      </c>
      <c r="N286" s="20" t="n">
        <v>3.328908</v>
      </c>
      <c r="O286" s="20" t="n">
        <v>3.345912</v>
      </c>
      <c r="P286" s="20" t="n">
        <v>3.387516</v>
      </c>
      <c r="Q286" s="20" t="n">
        <v>3.374206</v>
      </c>
      <c r="R286" s="20" t="n">
        <v>3.364376</v>
      </c>
      <c r="S286" s="20" t="n">
        <v>3.370988</v>
      </c>
      <c r="T286" s="23">
        <f>IFERROR(AVERAGE(D286:S286),"")</f>
        <v/>
      </c>
    </row>
    <row r="287">
      <c r="A287" s="22" t="n">
        <v>45397</v>
      </c>
      <c r="B287" s="22" t="n">
        <v>45401</v>
      </c>
      <c r="C287">
        <f>TEXT(A287,"yyyy-mm")</f>
        <v/>
      </c>
      <c r="D287" s="20" t="n">
        <v>3.341904</v>
      </c>
      <c r="E287" s="20" t="n">
        <v>3.34788</v>
      </c>
      <c r="F287" s="20" t="n">
        <v>3.334242</v>
      </c>
      <c r="G287" s="20" t="n">
        <v>3.351702</v>
      </c>
      <c r="H287" s="20" t="n">
        <v>3.34947</v>
      </c>
      <c r="I287" s="20" t="n">
        <v>3.36028</v>
      </c>
      <c r="J287" s="20" t="n">
        <v>3.364112</v>
      </c>
      <c r="K287" s="20" t="n">
        <v>3.490316</v>
      </c>
      <c r="L287" s="20" t="n">
        <v>3.531704</v>
      </c>
      <c r="M287" s="20" t="n">
        <v>3.552686</v>
      </c>
      <c r="N287" s="20" t="n">
        <v>3.384268</v>
      </c>
      <c r="O287" s="20" t="n">
        <v>3.40181</v>
      </c>
      <c r="P287" s="20" t="n">
        <v>3.44472</v>
      </c>
      <c r="Q287" s="20" t="n">
        <v>3.43099</v>
      </c>
      <c r="R287" s="20" t="n">
        <v>3.420414</v>
      </c>
      <c r="S287" s="20" t="n">
        <v>3.424034</v>
      </c>
      <c r="T287" s="23">
        <f>IFERROR(AVERAGE(D287:S287),"")</f>
        <v/>
      </c>
    </row>
    <row r="288">
      <c r="A288" s="22" t="n">
        <v>45404</v>
      </c>
      <c r="B288" s="22" t="n">
        <v>45408</v>
      </c>
      <c r="C288">
        <f>TEXT(A288,"yyyy-mm")</f>
        <v/>
      </c>
      <c r="D288" s="20" t="n">
        <v>3.126688</v>
      </c>
      <c r="E288" s="20" t="n">
        <v>3.13311</v>
      </c>
      <c r="F288" s="20" t="n">
        <v>3.119984</v>
      </c>
      <c r="G288" s="20" t="n">
        <v>3.136344</v>
      </c>
      <c r="H288" s="20" t="n">
        <v>3.132924</v>
      </c>
      <c r="I288" s="20" t="n">
        <v>3.143632</v>
      </c>
      <c r="J288" s="20" t="n">
        <v>3.145302</v>
      </c>
      <c r="K288" s="20" t="n">
        <v>3.27371</v>
      </c>
      <c r="L288" s="20" t="n">
        <v>3.312418</v>
      </c>
      <c r="M288" s="20" t="n">
        <v>3.333086</v>
      </c>
      <c r="N288" s="20" t="n">
        <v>3.167202</v>
      </c>
      <c r="O288" s="20" t="n">
        <v>3.18448</v>
      </c>
      <c r="P288" s="20" t="n">
        <v>3.226744</v>
      </c>
      <c r="Q288" s="20" t="n">
        <v>3.21322</v>
      </c>
      <c r="R288" s="20" t="n">
        <v>3.202862</v>
      </c>
      <c r="S288" s="20" t="n">
        <v>3.204322</v>
      </c>
      <c r="T288" s="23">
        <f>IFERROR(AVERAGE(D288:S288),"")</f>
        <v/>
      </c>
    </row>
    <row r="289">
      <c r="A289" s="22" t="n">
        <v>45411</v>
      </c>
      <c r="B289" s="22" t="n">
        <v>45415</v>
      </c>
      <c r="C289">
        <f>TEXT(A289,"yyyy-mm")</f>
        <v/>
      </c>
      <c r="D289" s="20" t="n">
        <v>3.057968</v>
      </c>
      <c r="E289" s="20" t="n">
        <v>3.064384</v>
      </c>
      <c r="F289" s="20" t="n">
        <v>3.051312</v>
      </c>
      <c r="G289" s="20" t="n">
        <v>3.067536</v>
      </c>
      <c r="H289" s="20" t="n">
        <v>3.063944</v>
      </c>
      <c r="I289" s="20" t="n">
        <v>3.074646</v>
      </c>
      <c r="J289" s="20" t="n">
        <v>3.07598</v>
      </c>
      <c r="K289" s="20" t="n">
        <v>3.204698</v>
      </c>
      <c r="L289" s="20" t="n">
        <v>3.243038</v>
      </c>
      <c r="M289" s="20" t="n">
        <v>3.263658</v>
      </c>
      <c r="N289" s="20" t="n">
        <v>3.098142</v>
      </c>
      <c r="O289" s="20" t="n">
        <v>3.11538</v>
      </c>
      <c r="P289" s="20" t="n">
        <v>3.157552</v>
      </c>
      <c r="Q289" s="20" t="n">
        <v>3.144056</v>
      </c>
      <c r="R289" s="20" t="n">
        <v>3.133744</v>
      </c>
      <c r="S289" s="20" t="n">
        <v>3.13487</v>
      </c>
      <c r="T289" s="23">
        <f>IFERROR(AVERAGE(D289:S289),"")</f>
        <v/>
      </c>
    </row>
    <row r="290">
      <c r="A290" s="22" t="n">
        <v>45418</v>
      </c>
      <c r="B290" s="22" t="n">
        <v>45422</v>
      </c>
      <c r="C290">
        <f>TEXT(A290,"yyyy-mm")</f>
        <v/>
      </c>
      <c r="D290" s="20" t="n">
        <v>2.90914</v>
      </c>
      <c r="E290" s="20" t="n">
        <v>2.915248</v>
      </c>
      <c r="F290" s="20" t="n">
        <v>2.901612</v>
      </c>
      <c r="G290" s="20" t="n">
        <v>2.91912</v>
      </c>
      <c r="H290" s="20" t="n">
        <v>2.916998</v>
      </c>
      <c r="I290" s="20" t="n">
        <v>2.927794</v>
      </c>
      <c r="J290" s="20" t="n">
        <v>2.931858</v>
      </c>
      <c r="K290" s="20" t="n">
        <v>3.054188</v>
      </c>
      <c r="L290" s="20" t="n">
        <v>3.095142</v>
      </c>
      <c r="M290" s="20" t="n">
        <v>3.11565</v>
      </c>
      <c r="N290" s="20" t="n">
        <v>2.951014</v>
      </c>
      <c r="O290" s="20" t="n">
        <v>2.96816</v>
      </c>
      <c r="P290" s="20" t="n">
        <v>3.010108</v>
      </c>
      <c r="Q290" s="20" t="n">
        <v>2.996684</v>
      </c>
      <c r="R290" s="20" t="n">
        <v>2.986576</v>
      </c>
      <c r="S290" s="20" t="n">
        <v>2.990438</v>
      </c>
      <c r="T290" s="23">
        <f>IFERROR(AVERAGE(D290:S290),"")</f>
        <v/>
      </c>
    </row>
    <row r="291">
      <c r="A291" s="22" t="n">
        <v>45425</v>
      </c>
      <c r="B291" s="22" t="n">
        <v>45429</v>
      </c>
      <c r="C291">
        <f>TEXT(A291,"yyyy-mm")</f>
        <v/>
      </c>
      <c r="D291" s="20" t="n">
        <v>2.887758</v>
      </c>
      <c r="E291" s="20" t="n">
        <v>2.89417</v>
      </c>
      <c r="F291" s="20" t="n">
        <v>2.881036</v>
      </c>
      <c r="G291" s="20" t="n">
        <v>2.897418</v>
      </c>
      <c r="H291" s="20" t="n">
        <v>2.894022</v>
      </c>
      <c r="I291" s="20" t="n">
        <v>2.90473</v>
      </c>
      <c r="J291" s="20" t="n">
        <v>2.906444</v>
      </c>
      <c r="K291" s="20" t="n">
        <v>3.034366</v>
      </c>
      <c r="L291" s="20" t="n">
        <v>3.073054</v>
      </c>
      <c r="M291" s="20" t="n">
        <v>3.093664</v>
      </c>
      <c r="N291" s="20" t="n">
        <v>2.928208</v>
      </c>
      <c r="O291" s="20" t="n">
        <v>2.94544</v>
      </c>
      <c r="P291" s="20" t="n">
        <v>2.987596</v>
      </c>
      <c r="Q291" s="20" t="n">
        <v>2.974108</v>
      </c>
      <c r="R291" s="20" t="n">
        <v>2.96381</v>
      </c>
      <c r="S291" s="20" t="n">
        <v>2.965312</v>
      </c>
      <c r="T291" s="23">
        <f>IFERROR(AVERAGE(D291:S291),"")</f>
        <v/>
      </c>
    </row>
    <row r="292">
      <c r="A292" s="22" t="n">
        <v>45432</v>
      </c>
      <c r="B292" s="22" t="n">
        <v>45436</v>
      </c>
      <c r="C292">
        <f>TEXT(A292,"yyyy-mm")</f>
        <v/>
      </c>
      <c r="D292" s="20" t="n">
        <v>2.91986</v>
      </c>
      <c r="E292" s="20" t="n">
        <v>2.926402</v>
      </c>
      <c r="F292" s="20" t="n">
        <v>2.913252</v>
      </c>
      <c r="G292" s="20" t="n">
        <v>2.92972</v>
      </c>
      <c r="H292" s="20" t="n">
        <v>2.926466</v>
      </c>
      <c r="I292" s="20" t="n">
        <v>2.937166</v>
      </c>
      <c r="J292" s="20" t="n">
        <v>2.939194</v>
      </c>
      <c r="K292" s="20" t="n">
        <v>3.066846</v>
      </c>
      <c r="L292" s="20" t="n">
        <v>3.105806</v>
      </c>
      <c r="M292" s="20" t="n">
        <v>3.126454</v>
      </c>
      <c r="N292" s="20" t="n">
        <v>2.960716</v>
      </c>
      <c r="O292" s="20" t="n">
        <v>2.977976</v>
      </c>
      <c r="P292" s="20" t="n">
        <v>3.020204</v>
      </c>
      <c r="Q292" s="20" t="n">
        <v>3.006694</v>
      </c>
      <c r="R292" s="20" t="n">
        <v>2.996346</v>
      </c>
      <c r="S292" s="20" t="n">
        <v>2.998162</v>
      </c>
      <c r="T292" s="23">
        <f>IFERROR(AVERAGE(D292:S292),"")</f>
        <v/>
      </c>
    </row>
    <row r="293">
      <c r="A293" s="22" t="n">
        <v>45439</v>
      </c>
      <c r="B293" s="22" t="n">
        <v>45443</v>
      </c>
      <c r="C293">
        <f>TEXT(A293,"yyyy-mm")</f>
        <v/>
      </c>
      <c r="D293" s="20" t="n">
        <v>2.959743</v>
      </c>
      <c r="E293" s="20" t="n">
        <v>2.965538</v>
      </c>
      <c r="F293" s="20" t="n">
        <v>2.950463</v>
      </c>
      <c r="G293" s="20" t="n">
        <v>2.9715</v>
      </c>
      <c r="H293" s="20" t="n">
        <v>2.973583</v>
      </c>
      <c r="I293" s="20" t="n">
        <v>2.984565</v>
      </c>
      <c r="J293" s="20" t="n">
        <v>2.996658</v>
      </c>
      <c r="K293" s="20" t="n">
        <v>3.105915</v>
      </c>
      <c r="L293" s="20" t="n">
        <v>3.155093</v>
      </c>
      <c r="M293" s="20" t="n">
        <v>3.175988</v>
      </c>
      <c r="N293" s="20" t="n">
        <v>3.008243</v>
      </c>
      <c r="O293" s="20" t="n">
        <v>3.025713</v>
      </c>
      <c r="P293" s="20" t="n">
        <v>3.068453</v>
      </c>
      <c r="Q293" s="20" t="n">
        <v>3.054775</v>
      </c>
      <c r="R293" s="20" t="n">
        <v>3.04446</v>
      </c>
      <c r="S293" s="20" t="n">
        <v>3.05634</v>
      </c>
      <c r="T293" s="23">
        <f>IFERROR(AVERAGE(D293:S293),"")</f>
        <v/>
      </c>
    </row>
    <row r="294">
      <c r="A294" s="22" t="n">
        <v>45446</v>
      </c>
      <c r="B294" s="22" t="n">
        <v>45450</v>
      </c>
      <c r="C294">
        <f>TEXT(A294,"yyyy-mm")</f>
        <v/>
      </c>
      <c r="D294" s="20" t="n">
        <v>3.019116</v>
      </c>
      <c r="E294" s="20" t="n">
        <v>3.024714</v>
      </c>
      <c r="F294" s="20" t="n">
        <v>3.009416</v>
      </c>
      <c r="G294" s="20" t="n">
        <v>3.03094</v>
      </c>
      <c r="H294" s="20" t="n">
        <v>3.033548</v>
      </c>
      <c r="I294" s="20" t="n">
        <v>3.044576</v>
      </c>
      <c r="J294" s="20" t="n">
        <v>3.057628</v>
      </c>
      <c r="K294" s="20" t="n">
        <v>3.16689</v>
      </c>
      <c r="L294" s="20" t="n">
        <v>3.217416</v>
      </c>
      <c r="M294" s="20" t="n">
        <v>3.238584</v>
      </c>
      <c r="N294" s="20" t="n">
        <v>3.068658</v>
      </c>
      <c r="O294" s="20" t="n">
        <v>3.086356</v>
      </c>
      <c r="P294" s="20" t="n">
        <v>3.12965</v>
      </c>
      <c r="Q294" s="20" t="n">
        <v>3.1158</v>
      </c>
      <c r="R294" s="20" t="n">
        <v>3.105246</v>
      </c>
      <c r="S294" s="20" t="n">
        <v>3.118086</v>
      </c>
      <c r="T294" s="23">
        <f>IFERROR(AVERAGE(D294:S294),"")</f>
        <v/>
      </c>
    </row>
    <row r="295">
      <c r="A295" s="22" t="n">
        <v>45453</v>
      </c>
      <c r="B295" s="22" t="n">
        <v>45457</v>
      </c>
      <c r="C295">
        <f>TEXT(A295,"yyyy-mm")</f>
        <v/>
      </c>
      <c r="D295" s="20" t="n">
        <v>2.981728</v>
      </c>
      <c r="E295" s="20" t="n">
        <v>2.98823</v>
      </c>
      <c r="F295" s="20" t="n">
        <v>2.974582</v>
      </c>
      <c r="G295" s="20" t="n">
        <v>2.992298</v>
      </c>
      <c r="H295" s="20" t="n">
        <v>2.990558</v>
      </c>
      <c r="I295" s="20" t="n">
        <v>3.001312</v>
      </c>
      <c r="J295" s="20" t="n">
        <v>3.006234</v>
      </c>
      <c r="K295" s="20" t="n">
        <v>3.134972</v>
      </c>
      <c r="L295" s="20" t="n">
        <v>3.177826</v>
      </c>
      <c r="M295" s="20" t="n">
        <v>3.199384</v>
      </c>
      <c r="N295" s="20" t="n">
        <v>3.026316</v>
      </c>
      <c r="O295" s="20" t="n">
        <v>3.044342</v>
      </c>
      <c r="P295" s="20" t="n">
        <v>3.088438</v>
      </c>
      <c r="Q295" s="20" t="n">
        <v>3.074328</v>
      </c>
      <c r="R295" s="20" t="n">
        <v>3.06311</v>
      </c>
      <c r="S295" s="20" t="n">
        <v>3.067814</v>
      </c>
      <c r="T295" s="23">
        <f>IFERROR(AVERAGE(D295:S295),"")</f>
        <v/>
      </c>
    </row>
    <row r="296">
      <c r="A296" s="22" t="n">
        <v>45460</v>
      </c>
      <c r="B296" s="22" t="n">
        <v>45464</v>
      </c>
      <c r="C296">
        <f>TEXT(A296,"yyyy-mm")</f>
        <v/>
      </c>
      <c r="D296" s="20" t="n">
        <v>3.03406</v>
      </c>
      <c r="E296" s="20" t="n">
        <v>3.03942</v>
      </c>
      <c r="F296" s="20" t="n">
        <v>3.024443</v>
      </c>
      <c r="G296" s="20" t="n">
        <v>3.045045</v>
      </c>
      <c r="H296" s="20" t="n">
        <v>3.046455</v>
      </c>
      <c r="I296" s="20" t="n">
        <v>3.05747</v>
      </c>
      <c r="J296" s="20" t="n">
        <v>3.06815</v>
      </c>
      <c r="K296" s="20" t="n">
        <v>3.186708</v>
      </c>
      <c r="L296" s="20" t="n">
        <v>3.235918</v>
      </c>
      <c r="M296" s="20" t="n">
        <v>3.257733</v>
      </c>
      <c r="N296" s="20" t="n">
        <v>3.082633</v>
      </c>
      <c r="O296" s="20" t="n">
        <v>3.10087</v>
      </c>
      <c r="P296" s="20" t="n">
        <v>3.145485</v>
      </c>
      <c r="Q296" s="20" t="n">
        <v>3.131208</v>
      </c>
      <c r="R296" s="20" t="n">
        <v>3.11999</v>
      </c>
      <c r="S296" s="20" t="n">
        <v>3.13045</v>
      </c>
      <c r="T296" s="23">
        <f>IFERROR(AVERAGE(D296:S296),"")</f>
        <v/>
      </c>
    </row>
    <row r="297">
      <c r="A297" s="22" t="n">
        <v>45467</v>
      </c>
      <c r="B297" s="22" t="n">
        <v>45471</v>
      </c>
      <c r="C297">
        <f>TEXT(A297,"yyyy-mm")</f>
        <v/>
      </c>
      <c r="D297" s="20" t="n">
        <v>3.214966</v>
      </c>
      <c r="E297" s="20" t="n">
        <v>3.2198</v>
      </c>
      <c r="F297" s="20" t="n">
        <v>3.204294</v>
      </c>
      <c r="G297" s="20" t="n">
        <v>3.22599</v>
      </c>
      <c r="H297" s="20" t="n">
        <v>3.22856</v>
      </c>
      <c r="I297" s="20" t="n">
        <v>3.239688</v>
      </c>
      <c r="J297" s="20" t="n">
        <v>3.252442</v>
      </c>
      <c r="K297" s="20" t="n">
        <v>3.368368</v>
      </c>
      <c r="L297" s="20" t="n">
        <v>3.420134</v>
      </c>
      <c r="M297" s="20" t="n">
        <v>3.44219</v>
      </c>
      <c r="N297" s="20" t="n">
        <v>3.265142</v>
      </c>
      <c r="O297" s="20" t="n">
        <v>3.283582</v>
      </c>
      <c r="P297" s="20" t="n">
        <v>3.32869</v>
      </c>
      <c r="Q297" s="20" t="n">
        <v>3.314256</v>
      </c>
      <c r="R297" s="20" t="n">
        <v>3.302904</v>
      </c>
      <c r="S297" s="20" t="n">
        <v>3.315434</v>
      </c>
      <c r="T297" s="23">
        <f>IFERROR(AVERAGE(D297:S297),"")</f>
        <v/>
      </c>
    </row>
    <row r="298">
      <c r="A298" s="22" t="n">
        <v>45474</v>
      </c>
      <c r="B298" s="22" t="n">
        <v>45478</v>
      </c>
      <c r="C298">
        <f>TEXT(A298,"yyyy-mm")</f>
        <v/>
      </c>
      <c r="D298" s="20" t="n">
        <v>3.386873</v>
      </c>
      <c r="E298" s="20" t="n">
        <v>3.391827</v>
      </c>
      <c r="F298" s="20" t="n">
        <v>3.376853</v>
      </c>
      <c r="G298" s="20" t="n">
        <v>3.397267</v>
      </c>
      <c r="H298" s="20" t="n">
        <v>3.398303</v>
      </c>
      <c r="I298" s="20" t="n">
        <v>3.409363</v>
      </c>
      <c r="J298" s="20" t="n">
        <v>3.419207</v>
      </c>
      <c r="K298" s="20" t="n">
        <v>3.545107</v>
      </c>
      <c r="L298" s="20" t="n">
        <v>3.59476</v>
      </c>
      <c r="M298" s="20" t="n">
        <v>3.617377</v>
      </c>
      <c r="N298" s="20" t="n">
        <v>3.435817</v>
      </c>
      <c r="O298" s="20" t="n">
        <v>3.45473</v>
      </c>
      <c r="P298" s="20" t="n">
        <v>3.500987</v>
      </c>
      <c r="Q298" s="20" t="n">
        <v>3.486187</v>
      </c>
      <c r="R298" s="20" t="n">
        <v>3.47419</v>
      </c>
      <c r="S298" s="20" t="n">
        <v>3.483803</v>
      </c>
      <c r="T298" s="23">
        <f>IFERROR(AVERAGE(D298:S298),"")</f>
        <v/>
      </c>
    </row>
    <row r="299">
      <c r="A299" s="22" t="n">
        <v>45481</v>
      </c>
      <c r="B299" s="22" t="n">
        <v>45485</v>
      </c>
      <c r="C299">
        <f>TEXT(A299,"yyyy-mm")</f>
        <v/>
      </c>
      <c r="D299" s="20" t="n">
        <v>3.275528</v>
      </c>
      <c r="E299" s="20" t="n">
        <v>3.281702</v>
      </c>
      <c r="F299" s="20" t="n">
        <v>3.267756</v>
      </c>
      <c r="G299" s="20" t="n">
        <v>3.286092</v>
      </c>
      <c r="H299" s="20" t="n">
        <v>3.285</v>
      </c>
      <c r="I299" s="20" t="n">
        <v>3.295822</v>
      </c>
      <c r="J299" s="20" t="n">
        <v>3.301908</v>
      </c>
      <c r="K299" s="20" t="n">
        <v>3.430138</v>
      </c>
      <c r="L299" s="20" t="n">
        <v>3.474596</v>
      </c>
      <c r="M299" s="20" t="n">
        <v>3.496424</v>
      </c>
      <c r="N299" s="20" t="n">
        <v>3.321204</v>
      </c>
      <c r="O299" s="20" t="n">
        <v>3.339454</v>
      </c>
      <c r="P299" s="20" t="n">
        <v>3.384098</v>
      </c>
      <c r="Q299" s="20" t="n">
        <v>3.369812</v>
      </c>
      <c r="R299" s="20" t="n">
        <v>3.358382</v>
      </c>
      <c r="S299" s="20" t="n">
        <v>3.364248</v>
      </c>
      <c r="T299" s="23">
        <f>IFERROR(AVERAGE(D299:S299),"")</f>
        <v/>
      </c>
    </row>
    <row r="300">
      <c r="A300" s="22" t="n">
        <v>45488</v>
      </c>
      <c r="B300" s="22" t="n">
        <v>45492</v>
      </c>
      <c r="C300">
        <f>TEXT(A300,"yyyy-mm")</f>
        <v/>
      </c>
      <c r="D300" s="20" t="n">
        <v>3.238486</v>
      </c>
      <c r="E300" s="20" t="n">
        <v>3.24399</v>
      </c>
      <c r="F300" s="20" t="n">
        <v>3.229286</v>
      </c>
      <c r="G300" s="20" t="n">
        <v>3.24925</v>
      </c>
      <c r="H300" s="20" t="n">
        <v>3.249922</v>
      </c>
      <c r="I300" s="20" t="n">
        <v>3.260896</v>
      </c>
      <c r="J300" s="20" t="n">
        <v>3.270192</v>
      </c>
      <c r="K300" s="20" t="n">
        <v>3.393688</v>
      </c>
      <c r="L300" s="20" t="n">
        <v>3.441878</v>
      </c>
      <c r="M300" s="20" t="n">
        <v>3.463976</v>
      </c>
      <c r="N300" s="20" t="n">
        <v>3.286578</v>
      </c>
      <c r="O300" s="20" t="n">
        <v>3.305056</v>
      </c>
      <c r="P300" s="20" t="n">
        <v>3.350252</v>
      </c>
      <c r="Q300" s="20" t="n">
        <v>3.33579</v>
      </c>
      <c r="R300" s="20" t="n">
        <v>3.324236</v>
      </c>
      <c r="S300" s="20" t="n">
        <v>3.333308</v>
      </c>
      <c r="T300" s="23">
        <f>IFERROR(AVERAGE(D300:S300),"")</f>
        <v/>
      </c>
    </row>
    <row r="301">
      <c r="A301" s="22" t="n">
        <v>45495</v>
      </c>
      <c r="B301" s="22" t="n">
        <v>45499</v>
      </c>
      <c r="C301">
        <f>TEXT(A301,"yyyy-mm")</f>
        <v/>
      </c>
      <c r="D301" s="20" t="n">
        <v>3.231552</v>
      </c>
      <c r="E301" s="20" t="n">
        <v>3.237384</v>
      </c>
      <c r="F301" s="20" t="n">
        <v>3.223366</v>
      </c>
      <c r="G301" s="20" t="n">
        <v>3.241734</v>
      </c>
      <c r="H301" s="20" t="n">
        <v>3.240564</v>
      </c>
      <c r="I301" s="20" t="n">
        <v>3.25143</v>
      </c>
      <c r="J301" s="20" t="n">
        <v>3.257268</v>
      </c>
      <c r="K301" s="20" t="n">
        <v>3.39141</v>
      </c>
      <c r="L301" s="20" t="n">
        <v>3.436774</v>
      </c>
      <c r="M301" s="20" t="n">
        <v>3.459366</v>
      </c>
      <c r="N301" s="20" t="n">
        <v>3.278032</v>
      </c>
      <c r="O301" s="20" t="n">
        <v>3.296918</v>
      </c>
      <c r="P301" s="20" t="n">
        <v>3.343122</v>
      </c>
      <c r="Q301" s="20" t="n">
        <v>3.328336</v>
      </c>
      <c r="R301" s="20" t="n">
        <v>3.316178</v>
      </c>
      <c r="S301" s="20" t="n">
        <v>3.321784</v>
      </c>
      <c r="T301" s="23">
        <f>IFERROR(AVERAGE(D301:S301),"")</f>
        <v/>
      </c>
    </row>
    <row r="302">
      <c r="A302" s="22" t="n">
        <v>45502</v>
      </c>
      <c r="B302" s="22" t="n">
        <v>45506</v>
      </c>
      <c r="C302">
        <f>TEXT(A302,"yyyy-mm")</f>
        <v/>
      </c>
      <c r="D302" s="20" t="n">
        <v>3.217804</v>
      </c>
      <c r="E302" s="20" t="n">
        <v>3.223668</v>
      </c>
      <c r="F302" s="20" t="n">
        <v>3.21002</v>
      </c>
      <c r="G302" s="20" t="n">
        <v>3.227448</v>
      </c>
      <c r="H302" s="20" t="n">
        <v>3.225144</v>
      </c>
      <c r="I302" s="20" t="n">
        <v>3.235964</v>
      </c>
      <c r="J302" s="20" t="n">
        <v>3.239616</v>
      </c>
      <c r="K302" s="20" t="n">
        <v>3.37948</v>
      </c>
      <c r="L302" s="20" t="n">
        <v>3.423008</v>
      </c>
      <c r="M302" s="20" t="n">
        <v>3.445786</v>
      </c>
      <c r="N302" s="20" t="n">
        <v>3.262924</v>
      </c>
      <c r="O302" s="20" t="n">
        <v>3.28197</v>
      </c>
      <c r="P302" s="20" t="n">
        <v>3.32856</v>
      </c>
      <c r="Q302" s="20" t="n">
        <v>3.31365</v>
      </c>
      <c r="R302" s="20" t="n">
        <v>3.301256</v>
      </c>
      <c r="S302" s="20" t="n">
        <v>3.304676</v>
      </c>
      <c r="T302" s="23">
        <f>IFERROR(AVERAGE(D302:S302),"")</f>
        <v/>
      </c>
    </row>
    <row r="303">
      <c r="A303" s="22" t="n">
        <v>45509</v>
      </c>
      <c r="B303" s="22" t="n">
        <v>45513</v>
      </c>
      <c r="C303">
        <f>TEXT(A303,"yyyy-mm")</f>
        <v/>
      </c>
      <c r="D303" s="20" t="n">
        <v>3.127638</v>
      </c>
      <c r="E303" s="20" t="n">
        <v>3.13358</v>
      </c>
      <c r="F303" s="20" t="n">
        <v>3.120238</v>
      </c>
      <c r="G303" s="20" t="n">
        <v>3.136916</v>
      </c>
      <c r="H303" s="20" t="n">
        <v>3.133718</v>
      </c>
      <c r="I303" s="20" t="n">
        <v>3.144502</v>
      </c>
      <c r="J303" s="20" t="n">
        <v>3.146454</v>
      </c>
      <c r="K303" s="20" t="n">
        <v>3.288036</v>
      </c>
      <c r="L303" s="20" t="n">
        <v>3.329644</v>
      </c>
      <c r="M303" s="20" t="n">
        <v>3.352198</v>
      </c>
      <c r="N303" s="20" t="n">
        <v>3.17113</v>
      </c>
      <c r="O303" s="20" t="n">
        <v>3.189988</v>
      </c>
      <c r="P303" s="20" t="n">
        <v>3.236122</v>
      </c>
      <c r="Q303" s="20" t="n">
        <v>3.221362</v>
      </c>
      <c r="R303" s="20" t="n">
        <v>3.209154</v>
      </c>
      <c r="S303" s="20" t="n">
        <v>3.210874</v>
      </c>
      <c r="T303" s="23">
        <f>IFERROR(AVERAGE(D303:S303),"")</f>
        <v/>
      </c>
    </row>
    <row r="304">
      <c r="A304" s="22" t="n">
        <v>45516</v>
      </c>
      <c r="B304" s="22" t="n">
        <v>45520</v>
      </c>
      <c r="C304">
        <f>TEXT(A304,"yyyy-mm")</f>
        <v/>
      </c>
      <c r="D304" s="20" t="n">
        <v>3.079468</v>
      </c>
      <c r="E304" s="20" t="n">
        <v>3.085772</v>
      </c>
      <c r="F304" s="20" t="n">
        <v>3.072664</v>
      </c>
      <c r="G304" s="20" t="n">
        <v>3.088922</v>
      </c>
      <c r="H304" s="20" t="n">
        <v>3.085344</v>
      </c>
      <c r="I304" s="20" t="n">
        <v>3.096062</v>
      </c>
      <c r="J304" s="20" t="n">
        <v>3.097388</v>
      </c>
      <c r="K304" s="20" t="n">
        <v>3.236448</v>
      </c>
      <c r="L304" s="20" t="n">
        <v>3.276578</v>
      </c>
      <c r="M304" s="20" t="n">
        <v>3.298594</v>
      </c>
      <c r="N304" s="20" t="n">
        <v>3.121862</v>
      </c>
      <c r="O304" s="20" t="n">
        <v>3.140268</v>
      </c>
      <c r="P304" s="20" t="n">
        <v>3.185298</v>
      </c>
      <c r="Q304" s="20" t="n">
        <v>3.170888</v>
      </c>
      <c r="R304" s="20" t="n">
        <v>3.159164</v>
      </c>
      <c r="S304" s="20" t="n">
        <v>3.160268</v>
      </c>
      <c r="T304" s="23">
        <f>IFERROR(AVERAGE(D304:S304),"")</f>
        <v/>
      </c>
    </row>
    <row r="305">
      <c r="A305" s="22" t="n">
        <v>45523</v>
      </c>
      <c r="B305" s="22" t="n">
        <v>45527</v>
      </c>
      <c r="C305">
        <f>TEXT(A305,"yyyy-mm")</f>
        <v/>
      </c>
      <c r="D305" s="20" t="n">
        <v>2.904688</v>
      </c>
      <c r="E305" s="20" t="n">
        <v>2.910892</v>
      </c>
      <c r="F305" s="20" t="n">
        <v>2.897208</v>
      </c>
      <c r="G305" s="20" t="n">
        <v>2.914886</v>
      </c>
      <c r="H305" s="20" t="n">
        <v>2.913002</v>
      </c>
      <c r="I305" s="20" t="n">
        <v>2.92379</v>
      </c>
      <c r="J305" s="20" t="n">
        <v>2.928356</v>
      </c>
      <c r="K305" s="20" t="n">
        <v>3.061136</v>
      </c>
      <c r="L305" s="20" t="n">
        <v>3.104404</v>
      </c>
      <c r="M305" s="20" t="n">
        <v>3.126438</v>
      </c>
      <c r="N305" s="20" t="n">
        <v>2.94955</v>
      </c>
      <c r="O305" s="20" t="n">
        <v>2.967972</v>
      </c>
      <c r="P305" s="20" t="n">
        <v>3.013042</v>
      </c>
      <c r="Q305" s="20" t="n">
        <v>2.998622</v>
      </c>
      <c r="R305" s="20" t="n">
        <v>2.986948</v>
      </c>
      <c r="S305" s="20" t="n">
        <v>2.99129</v>
      </c>
      <c r="T305" s="23">
        <f>IFERROR(AVERAGE(D305:S305),"")</f>
        <v/>
      </c>
    </row>
    <row r="306">
      <c r="A306" s="22" t="n">
        <v>45530</v>
      </c>
      <c r="B306" s="22" t="n">
        <v>45534</v>
      </c>
      <c r="C306">
        <f>TEXT(A306,"yyyy-mm")</f>
        <v/>
      </c>
      <c r="D306" s="20" t="n">
        <v>2.954576</v>
      </c>
      <c r="E306" s="20" t="n">
        <v>2.961078</v>
      </c>
      <c r="F306" s="20" t="n">
        <v>2.947766</v>
      </c>
      <c r="G306" s="20" t="n">
        <v>2.964638</v>
      </c>
      <c r="H306" s="20" t="n">
        <v>2.961872</v>
      </c>
      <c r="I306" s="20" t="n">
        <v>2.972592</v>
      </c>
      <c r="J306" s="20" t="n">
        <v>2.97554</v>
      </c>
      <c r="K306" s="20" t="n">
        <v>3.113924</v>
      </c>
      <c r="L306" s="20" t="n">
        <v>3.15588</v>
      </c>
      <c r="M306" s="20" t="n">
        <v>3.178216</v>
      </c>
      <c r="N306" s="20" t="n">
        <v>2.998918</v>
      </c>
      <c r="O306" s="20" t="n">
        <v>3.017594</v>
      </c>
      <c r="P306" s="20" t="n">
        <v>3.063274</v>
      </c>
      <c r="Q306" s="20" t="n">
        <v>3.048658</v>
      </c>
      <c r="R306" s="20" t="n">
        <v>3.036612</v>
      </c>
      <c r="S306" s="20" t="n">
        <v>3.039334</v>
      </c>
      <c r="T306" s="23">
        <f>IFERROR(AVERAGE(D306:S306),"")</f>
        <v/>
      </c>
    </row>
    <row r="307">
      <c r="A307" s="22" t="n">
        <v>45537</v>
      </c>
      <c r="B307" s="22" t="n">
        <v>45541</v>
      </c>
      <c r="C307">
        <f>TEXT(A307,"yyyy-mm")</f>
        <v/>
      </c>
      <c r="D307" s="20" t="n">
        <v>2.8766</v>
      </c>
      <c r="E307" s="20" t="n">
        <v>2.883153</v>
      </c>
      <c r="F307" s="20" t="n">
        <v>2.869735</v>
      </c>
      <c r="G307" s="20" t="n">
        <v>2.886895</v>
      </c>
      <c r="H307" s="20" t="n">
        <v>2.884493</v>
      </c>
      <c r="I307" s="20" t="n">
        <v>2.895218</v>
      </c>
      <c r="J307" s="20" t="n">
        <v>2.898885</v>
      </c>
      <c r="K307" s="20" t="n">
        <v>3.037423</v>
      </c>
      <c r="L307" s="20" t="n">
        <v>3.080285</v>
      </c>
      <c r="M307" s="20" t="n">
        <v>3.102828</v>
      </c>
      <c r="N307" s="20" t="n">
        <v>2.92188</v>
      </c>
      <c r="O307" s="20" t="n">
        <v>2.940725</v>
      </c>
      <c r="P307" s="20" t="n">
        <v>2.986828</v>
      </c>
      <c r="Q307" s="20" t="n">
        <v>2.972078</v>
      </c>
      <c r="R307" s="20" t="n">
        <v>2.959825</v>
      </c>
      <c r="S307" s="20" t="n">
        <v>2.963265</v>
      </c>
      <c r="T307" s="23">
        <f>IFERROR(AVERAGE(D307:S307),"")</f>
        <v/>
      </c>
    </row>
    <row r="308">
      <c r="A308" s="22" t="n">
        <v>45544</v>
      </c>
      <c r="B308" s="22" t="n">
        <v>45548</v>
      </c>
      <c r="C308">
        <f>TEXT(A308,"yyyy-mm")</f>
        <v/>
      </c>
      <c r="D308" s="20" t="n">
        <v>2.762464</v>
      </c>
      <c r="E308" s="20" t="n">
        <v>2.769158</v>
      </c>
      <c r="F308" s="20" t="n">
        <v>2.756</v>
      </c>
      <c r="G308" s="20" t="n">
        <v>2.77256</v>
      </c>
      <c r="H308" s="20" t="n">
        <v>2.769474</v>
      </c>
      <c r="I308" s="20" t="n">
        <v>2.780158</v>
      </c>
      <c r="J308" s="20" t="n">
        <v>2.782544</v>
      </c>
      <c r="K308" s="20" t="n">
        <v>2.923872</v>
      </c>
      <c r="L308" s="20" t="n">
        <v>2.965488</v>
      </c>
      <c r="M308" s="20" t="n">
        <v>2.988054</v>
      </c>
      <c r="N308" s="20" t="n">
        <v>2.806902</v>
      </c>
      <c r="O308" s="20" t="n">
        <v>2.825772</v>
      </c>
      <c r="P308" s="20" t="n">
        <v>2.871928</v>
      </c>
      <c r="Q308" s="20" t="n">
        <v>2.857156</v>
      </c>
      <c r="R308" s="20" t="n">
        <v>2.844838</v>
      </c>
      <c r="S308" s="20" t="n">
        <v>2.846996</v>
      </c>
      <c r="T308" s="23">
        <f>IFERROR(AVERAGE(D308:S308),"")</f>
        <v/>
      </c>
    </row>
    <row r="309">
      <c r="A309" s="22" t="n">
        <v>45551</v>
      </c>
      <c r="B309" s="22" t="n">
        <v>45555</v>
      </c>
      <c r="C309">
        <f>TEXT(A309,"yyyy-mm")</f>
        <v/>
      </c>
      <c r="D309" s="20" t="n">
        <v>2.812276</v>
      </c>
      <c r="E309" s="20" t="n">
        <v>2.819112</v>
      </c>
      <c r="F309" s="20" t="n">
        <v>2.806024</v>
      </c>
      <c r="G309" s="20" t="n">
        <v>2.82247</v>
      </c>
      <c r="H309" s="20" t="n">
        <v>2.81929</v>
      </c>
      <c r="I309" s="20" t="n">
        <v>2.829952</v>
      </c>
      <c r="J309" s="20" t="n">
        <v>2.83219</v>
      </c>
      <c r="K309" s="20" t="n">
        <v>2.969526</v>
      </c>
      <c r="L309" s="20" t="n">
        <v>3.010194</v>
      </c>
      <c r="M309" s="20" t="n">
        <v>3.032174</v>
      </c>
      <c r="N309" s="20" t="n">
        <v>2.855744</v>
      </c>
      <c r="O309" s="20" t="n">
        <v>2.874118</v>
      </c>
      <c r="P309" s="20" t="n">
        <v>2.919072</v>
      </c>
      <c r="Q309" s="20" t="n">
        <v>2.904688</v>
      </c>
      <c r="R309" s="20" t="n">
        <v>2.892946</v>
      </c>
      <c r="S309" s="20" t="n">
        <v>2.89496</v>
      </c>
      <c r="T309" s="23">
        <f>IFERROR(AVERAGE(D309:S309),"")</f>
        <v/>
      </c>
    </row>
    <row r="310">
      <c r="A310" s="22" t="n">
        <v>45558</v>
      </c>
      <c r="B310" s="22" t="n">
        <v>45562</v>
      </c>
      <c r="C310">
        <f>TEXT(A310,"yyyy-mm")</f>
        <v/>
      </c>
      <c r="D310" s="20" t="n">
        <v>2.822326</v>
      </c>
      <c r="E310" s="20" t="n">
        <v>2.829386</v>
      </c>
      <c r="F310" s="20" t="n">
        <v>2.816648</v>
      </c>
      <c r="G310" s="20" t="n">
        <v>2.832304</v>
      </c>
      <c r="H310" s="20" t="n">
        <v>2.828234</v>
      </c>
      <c r="I310" s="20" t="n">
        <v>2.838834</v>
      </c>
      <c r="J310" s="20" t="n">
        <v>2.83943</v>
      </c>
      <c r="K310" s="20" t="n">
        <v>2.980054</v>
      </c>
      <c r="L310" s="20" t="n">
        <v>3.01903</v>
      </c>
      <c r="M310" s="20" t="n">
        <v>3.040996</v>
      </c>
      <c r="N310" s="20" t="n">
        <v>2.864668</v>
      </c>
      <c r="O310" s="20" t="n">
        <v>2.88303</v>
      </c>
      <c r="P310" s="20" t="n">
        <v>2.927958</v>
      </c>
      <c r="Q310" s="20" t="n">
        <v>2.913582</v>
      </c>
      <c r="R310" s="20" t="n">
        <v>2.901794</v>
      </c>
      <c r="S310" s="20" t="n">
        <v>2.902166</v>
      </c>
      <c r="T310" s="23">
        <f>IFERROR(AVERAGE(D310:S310),"")</f>
        <v/>
      </c>
    </row>
    <row r="311">
      <c r="A311" s="22" t="n">
        <v>45565</v>
      </c>
      <c r="B311" s="22" t="n">
        <v>45569</v>
      </c>
      <c r="C311">
        <f>TEXT(A311,"yyyy-mm")</f>
        <v/>
      </c>
      <c r="D311" s="20" t="n">
        <v>2.83605</v>
      </c>
      <c r="E311" s="20" t="n">
        <v>2.842426</v>
      </c>
      <c r="F311" s="20" t="n">
        <v>2.828724</v>
      </c>
      <c r="G311" s="20" t="n">
        <v>2.846524</v>
      </c>
      <c r="H311" s="20" t="n">
        <v>2.844844</v>
      </c>
      <c r="I311" s="20" t="n">
        <v>2.855622</v>
      </c>
      <c r="J311" s="20" t="n">
        <v>2.860628</v>
      </c>
      <c r="K311" s="20" t="n">
        <v>2.99188</v>
      </c>
      <c r="L311" s="20" t="n">
        <v>3.035352</v>
      </c>
      <c r="M311" s="20" t="n">
        <v>3.057284</v>
      </c>
      <c r="N311" s="20" t="n">
        <v>2.881222</v>
      </c>
      <c r="O311" s="20" t="n">
        <v>2.899558</v>
      </c>
      <c r="P311" s="20" t="n">
        <v>2.944418</v>
      </c>
      <c r="Q311" s="20" t="n">
        <v>2.930064</v>
      </c>
      <c r="R311" s="20" t="n">
        <v>2.918484</v>
      </c>
      <c r="S311" s="20" t="n">
        <v>2.923266</v>
      </c>
      <c r="T311" s="23">
        <f>IFERROR(AVERAGE(D311:S311),"")</f>
        <v/>
      </c>
    </row>
    <row r="312">
      <c r="A312" s="22" t="n">
        <v>45572</v>
      </c>
      <c r="B312" s="22" t="n">
        <v>45576</v>
      </c>
      <c r="C312">
        <f>TEXT(A312,"yyyy-mm")</f>
        <v/>
      </c>
      <c r="D312" s="20" t="n">
        <v>3.076872</v>
      </c>
      <c r="E312" s="20" t="n">
        <v>3.082404</v>
      </c>
      <c r="F312" s="20" t="n">
        <v>3.067892</v>
      </c>
      <c r="G312" s="20" t="n">
        <v>3.087382</v>
      </c>
      <c r="H312" s="20" t="n">
        <v>3.087492</v>
      </c>
      <c r="I312" s="20" t="n">
        <v>3.098442</v>
      </c>
      <c r="J312" s="20" t="n">
        <v>3.10666</v>
      </c>
      <c r="K312" s="20" t="n">
        <v>3.23415</v>
      </c>
      <c r="L312" s="20" t="n">
        <v>3.281618</v>
      </c>
      <c r="M312" s="20" t="n">
        <v>3.303966</v>
      </c>
      <c r="N312" s="20" t="n">
        <v>3.124564</v>
      </c>
      <c r="O312" s="20" t="n">
        <v>3.143248</v>
      </c>
      <c r="P312" s="20" t="n">
        <v>3.188958</v>
      </c>
      <c r="Q312" s="20" t="n">
        <v>3.17433</v>
      </c>
      <c r="R312" s="20" t="n">
        <v>3.162498</v>
      </c>
      <c r="S312" s="20" t="n">
        <v>3.170492</v>
      </c>
      <c r="T312" s="23">
        <f>IFERROR(AVERAGE(D312:S312),"")</f>
        <v/>
      </c>
    </row>
    <row r="313">
      <c r="A313" s="22" t="n">
        <v>45579</v>
      </c>
      <c r="B313" s="22" t="n">
        <v>45583</v>
      </c>
      <c r="C313">
        <f>TEXT(A313,"yyyy-mm")</f>
        <v/>
      </c>
      <c r="D313" s="20" t="n">
        <v>2.987116</v>
      </c>
      <c r="E313" s="20" t="n">
        <v>2.993996</v>
      </c>
      <c r="F313" s="20" t="n">
        <v>2.98071</v>
      </c>
      <c r="G313" s="20" t="n">
        <v>2.99768</v>
      </c>
      <c r="H313" s="20" t="n">
        <v>2.995152</v>
      </c>
      <c r="I313" s="20" t="n">
        <v>3.005828</v>
      </c>
      <c r="J313" s="20" t="n">
        <v>3.009344</v>
      </c>
      <c r="K313" s="20" t="n">
        <v>3.149612</v>
      </c>
      <c r="L313" s="20" t="n">
        <v>3.192356</v>
      </c>
      <c r="M313" s="20" t="n">
        <v>3.215062</v>
      </c>
      <c r="N313" s="20" t="n">
        <v>3.032808</v>
      </c>
      <c r="O313" s="20" t="n">
        <v>3.05179</v>
      </c>
      <c r="P313" s="20" t="n">
        <v>3.098228</v>
      </c>
      <c r="Q313" s="20" t="n">
        <v>3.083366</v>
      </c>
      <c r="R313" s="20" t="n">
        <v>3.0709</v>
      </c>
      <c r="S313" s="20" t="n">
        <v>3.07419</v>
      </c>
      <c r="T313" s="23">
        <f>IFERROR(AVERAGE(D313:S313),"")</f>
        <v/>
      </c>
    </row>
    <row r="314">
      <c r="A314" s="22" t="n">
        <v>45586</v>
      </c>
      <c r="B314" s="22" t="n">
        <v>45590</v>
      </c>
      <c r="C314">
        <f>TEXT(A314,"yyyy-mm")</f>
        <v/>
      </c>
      <c r="D314" s="20" t="n">
        <v>2.945992</v>
      </c>
      <c r="E314" s="20" t="n">
        <v>2.952922</v>
      </c>
      <c r="F314" s="20" t="n">
        <v>2.939882</v>
      </c>
      <c r="G314" s="20" t="n">
        <v>2.95625</v>
      </c>
      <c r="H314" s="20" t="n">
        <v>2.953002</v>
      </c>
      <c r="I314" s="20" t="n">
        <v>2.963648</v>
      </c>
      <c r="J314" s="20" t="n">
        <v>2.965788</v>
      </c>
      <c r="K314" s="20" t="n">
        <v>3.110314</v>
      </c>
      <c r="L314" s="20" t="n">
        <v>3.152</v>
      </c>
      <c r="M314" s="20" t="n">
        <v>3.174912</v>
      </c>
      <c r="N314" s="20" t="n">
        <v>2.991002</v>
      </c>
      <c r="O314" s="20" t="n">
        <v>3.010154</v>
      </c>
      <c r="P314" s="20" t="n">
        <v>3.057014</v>
      </c>
      <c r="Q314" s="20" t="n">
        <v>3.04202</v>
      </c>
      <c r="R314" s="20" t="n">
        <v>3.029316</v>
      </c>
      <c r="S314" s="20" t="n">
        <v>3.031224</v>
      </c>
      <c r="T314" s="23">
        <f>IFERROR(AVERAGE(D314:S314),"")</f>
        <v/>
      </c>
    </row>
    <row r="315">
      <c r="A315" s="22" t="n">
        <v>45593</v>
      </c>
      <c r="B315" s="22" t="n">
        <v>45597</v>
      </c>
      <c r="C315">
        <f>TEXT(A315,"yyyy-mm")</f>
        <v/>
      </c>
      <c r="D315" s="20" t="n">
        <v>2.940902</v>
      </c>
      <c r="E315" s="20" t="n">
        <v>2.94729</v>
      </c>
      <c r="F315" s="20" t="n">
        <v>2.933684</v>
      </c>
      <c r="G315" s="20" t="n">
        <v>2.95125</v>
      </c>
      <c r="H315" s="20" t="n">
        <v>2.949292</v>
      </c>
      <c r="I315" s="20" t="n">
        <v>2.960054</v>
      </c>
      <c r="J315" s="20" t="n">
        <v>2.964528</v>
      </c>
      <c r="K315" s="20" t="n">
        <v>3.106156</v>
      </c>
      <c r="L315" s="20" t="n">
        <v>3.150672</v>
      </c>
      <c r="M315" s="20" t="n">
        <v>3.17386</v>
      </c>
      <c r="N315" s="20" t="n">
        <v>2.987748</v>
      </c>
      <c r="O315" s="20" t="n">
        <v>3.007132</v>
      </c>
      <c r="P315" s="20" t="n">
        <v>3.054546</v>
      </c>
      <c r="Q315" s="20" t="n">
        <v>3.039376</v>
      </c>
      <c r="R315" s="20" t="n">
        <v>3.026506</v>
      </c>
      <c r="S315" s="20" t="n">
        <v>3.03074</v>
      </c>
      <c r="T315" s="23">
        <f>IFERROR(AVERAGE(D315:S315),"")</f>
        <v/>
      </c>
    </row>
    <row r="316">
      <c r="A316" s="22" t="n">
        <v>45600</v>
      </c>
      <c r="B316" s="22" t="n">
        <v>45604</v>
      </c>
      <c r="C316">
        <f>TEXT(A316,"yyyy-mm")</f>
        <v/>
      </c>
      <c r="D316" s="20" t="n">
        <v>3.060584</v>
      </c>
      <c r="E316" s="20" t="n">
        <v>3.066506</v>
      </c>
      <c r="F316" s="20" t="n">
        <v>3.05278</v>
      </c>
      <c r="G316" s="20" t="n">
        <v>3.070434</v>
      </c>
      <c r="H316" s="20" t="n">
        <v>3.068424</v>
      </c>
      <c r="I316" s="20" t="n">
        <v>3.079248</v>
      </c>
      <c r="J316" s="20" t="n">
        <v>3.08349</v>
      </c>
      <c r="K316" s="20" t="n">
        <v>3.223954</v>
      </c>
      <c r="L316" s="20" t="n">
        <v>3.268288</v>
      </c>
      <c r="M316" s="20" t="n">
        <v>3.291296</v>
      </c>
      <c r="N316" s="20" t="n">
        <v>3.10659</v>
      </c>
      <c r="O316" s="20" t="n">
        <v>3.125828</v>
      </c>
      <c r="P316" s="20" t="n">
        <v>3.172888</v>
      </c>
      <c r="Q316" s="20" t="n">
        <v>3.157832</v>
      </c>
      <c r="R316" s="20" t="n">
        <v>3.1452</v>
      </c>
      <c r="S316" s="20" t="n">
        <v>3.149206</v>
      </c>
      <c r="T316" s="23">
        <f>IFERROR(AVERAGE(D316:S316),"")</f>
        <v/>
      </c>
    </row>
    <row r="317">
      <c r="A317" s="22" t="n">
        <v>45607</v>
      </c>
      <c r="B317" s="22" t="n">
        <v>45611</v>
      </c>
      <c r="C317">
        <f>TEXT(A317,"yyyy-mm")</f>
        <v/>
      </c>
      <c r="D317" s="20" t="n">
        <v>3.01086</v>
      </c>
      <c r="E317" s="20" t="n">
        <v>3.017338</v>
      </c>
      <c r="F317" s="20" t="n">
        <v>3.004166</v>
      </c>
      <c r="G317" s="20" t="n">
        <v>3.020666</v>
      </c>
      <c r="H317" s="20" t="n">
        <v>3.017432</v>
      </c>
      <c r="I317" s="20" t="n">
        <v>3.028138</v>
      </c>
      <c r="J317" s="20" t="n">
        <v>3.03018</v>
      </c>
      <c r="K317" s="20" t="n">
        <v>3.176934</v>
      </c>
      <c r="L317" s="20" t="n">
        <v>3.219156</v>
      </c>
      <c r="M317" s="20" t="n">
        <v>3.24238</v>
      </c>
      <c r="N317" s="20" t="n">
        <v>3.05595</v>
      </c>
      <c r="O317" s="20" t="n">
        <v>3.075368</v>
      </c>
      <c r="P317" s="20" t="n">
        <v>3.122868</v>
      </c>
      <c r="Q317" s="20" t="n">
        <v>3.107666</v>
      </c>
      <c r="R317" s="20" t="n">
        <v>3.094704</v>
      </c>
      <c r="S317" s="20" t="n">
        <v>3.096508</v>
      </c>
      <c r="T317" s="23">
        <f>IFERROR(AVERAGE(D317:S317),"")</f>
        <v/>
      </c>
    </row>
    <row r="318">
      <c r="A318" s="22" t="n">
        <v>45614</v>
      </c>
      <c r="B318" s="22" t="n">
        <v>45618</v>
      </c>
      <c r="C318">
        <f>TEXT(A318,"yyyy-mm")</f>
        <v/>
      </c>
      <c r="D318" s="20" t="n">
        <v>3.061042</v>
      </c>
      <c r="E318" s="20" t="n">
        <v>3.06712</v>
      </c>
      <c r="F318" s="20" t="n">
        <v>3.053562</v>
      </c>
      <c r="G318" s="20" t="n">
        <v>3.070868</v>
      </c>
      <c r="H318" s="20" t="n">
        <v>3.068482</v>
      </c>
      <c r="I318" s="20" t="n">
        <v>3.079272</v>
      </c>
      <c r="J318" s="20" t="n">
        <v>3.08284</v>
      </c>
      <c r="K318" s="20" t="n">
        <v>3.226392</v>
      </c>
      <c r="L318" s="20" t="n">
        <v>3.270278</v>
      </c>
      <c r="M318" s="20" t="n">
        <v>3.29351</v>
      </c>
      <c r="N318" s="20" t="n">
        <v>3.107018</v>
      </c>
      <c r="O318" s="20" t="n">
        <v>3.126438</v>
      </c>
      <c r="P318" s="20" t="n">
        <v>3.173956</v>
      </c>
      <c r="Q318" s="20" t="n">
        <v>3.158754</v>
      </c>
      <c r="R318" s="20" t="n">
        <v>3.14586</v>
      </c>
      <c r="S318" s="20" t="n">
        <v>3.149194</v>
      </c>
      <c r="T318" s="23">
        <f>IFERROR(AVERAGE(D318:S318),"")</f>
        <v/>
      </c>
    </row>
    <row r="319">
      <c r="A319" s="22" t="n">
        <v>45621</v>
      </c>
      <c r="B319" s="22" t="n">
        <v>45625</v>
      </c>
      <c r="C319">
        <f>TEXT(A319,"yyyy-mm")</f>
        <v/>
      </c>
      <c r="D319" s="20" t="n">
        <v>3.071183</v>
      </c>
      <c r="E319" s="20" t="n">
        <v>3.077087</v>
      </c>
      <c r="F319" s="20" t="n">
        <v>3.063743</v>
      </c>
      <c r="G319" s="20" t="n">
        <v>3.080427</v>
      </c>
      <c r="H319" s="20" t="n">
        <v>3.07723</v>
      </c>
      <c r="I319" s="20" t="n">
        <v>3.088017</v>
      </c>
      <c r="J319" s="20" t="n">
        <v>3.089973</v>
      </c>
      <c r="K319" s="20" t="n">
        <v>3.238397</v>
      </c>
      <c r="L319" s="20" t="n">
        <v>3.281153</v>
      </c>
      <c r="M319" s="20" t="n">
        <v>3.304633</v>
      </c>
      <c r="N319" s="20" t="n">
        <v>3.116173</v>
      </c>
      <c r="O319" s="20" t="n">
        <v>3.135803</v>
      </c>
      <c r="P319" s="20" t="n">
        <v>3.18382</v>
      </c>
      <c r="Q319" s="20" t="n">
        <v>3.168453</v>
      </c>
      <c r="R319" s="20" t="n">
        <v>3.155307</v>
      </c>
      <c r="S319" s="20" t="n">
        <v>3.157027</v>
      </c>
      <c r="T319" s="23">
        <f>IFERROR(AVERAGE(D319:S319),"")</f>
        <v/>
      </c>
    </row>
    <row r="320">
      <c r="A320" s="22" t="n">
        <v>45628</v>
      </c>
      <c r="B320" s="22" t="n">
        <v>45632</v>
      </c>
      <c r="C320">
        <f>TEXT(A320,"yyyy-mm")</f>
        <v/>
      </c>
      <c r="D320" s="20" t="n">
        <v>3.119978</v>
      </c>
      <c r="E320" s="20" t="n">
        <v>3.125804</v>
      </c>
      <c r="F320" s="20" t="n">
        <v>3.112118</v>
      </c>
      <c r="G320" s="20" t="n">
        <v>3.129628</v>
      </c>
      <c r="H320" s="20" t="n">
        <v>3.127414</v>
      </c>
      <c r="I320" s="20" t="n">
        <v>3.138244</v>
      </c>
      <c r="J320" s="20" t="n">
        <v>3.14206</v>
      </c>
      <c r="K320" s="20" t="n">
        <v>3.2929</v>
      </c>
      <c r="L320" s="20" t="n">
        <v>3.338494</v>
      </c>
      <c r="M320" s="20" t="n">
        <v>3.362792</v>
      </c>
      <c r="N320" s="20" t="n">
        <v>3.16772</v>
      </c>
      <c r="O320" s="20" t="n">
        <v>3.188038</v>
      </c>
      <c r="P320" s="20" t="n">
        <v>3.237738</v>
      </c>
      <c r="Q320" s="20" t="n">
        <v>3.221836</v>
      </c>
      <c r="R320" s="20" t="n">
        <v>3.207896</v>
      </c>
      <c r="S320" s="20" t="n">
        <v>3.211468</v>
      </c>
      <c r="T320" s="23">
        <f>IFERROR(AVERAGE(D320:S320),"")</f>
        <v/>
      </c>
    </row>
    <row r="321">
      <c r="A321" s="22" t="n">
        <v>45635</v>
      </c>
      <c r="B321" s="22" t="n">
        <v>45639</v>
      </c>
      <c r="C321">
        <f>TEXT(A321,"yyyy-mm")</f>
        <v/>
      </c>
      <c r="D321" s="20" t="n">
        <v>3.131478</v>
      </c>
      <c r="E321" s="20" t="n">
        <v>3.13678</v>
      </c>
      <c r="F321" s="20" t="n">
        <v>3.122106</v>
      </c>
      <c r="G321" s="20" t="n">
        <v>3.141894</v>
      </c>
      <c r="H321" s="20" t="n">
        <v>3.142278</v>
      </c>
      <c r="I321" s="20" t="n">
        <v>3.153272</v>
      </c>
      <c r="J321" s="20" t="n">
        <v>3.161948</v>
      </c>
      <c r="K321" s="20" t="n">
        <v>3.302808</v>
      </c>
      <c r="L321" s="20" t="n">
        <v>3.353262</v>
      </c>
      <c r="M321" s="20" t="n">
        <v>3.377558</v>
      </c>
      <c r="N321" s="20" t="n">
        <v>3.182568</v>
      </c>
      <c r="O321" s="20" t="n">
        <v>3.202878</v>
      </c>
      <c r="P321" s="20" t="n">
        <v>3.252558</v>
      </c>
      <c r="Q321" s="20" t="n">
        <v>3.23666</v>
      </c>
      <c r="R321" s="20" t="n">
        <v>3.222892</v>
      </c>
      <c r="S321" s="20" t="n">
        <v>3.231324</v>
      </c>
      <c r="T321" s="23">
        <f>IFERROR(AVERAGE(D321:S321),"")</f>
        <v/>
      </c>
    </row>
    <row r="322">
      <c r="A322" s="22" t="n">
        <v>45642</v>
      </c>
      <c r="B322" s="22" t="n">
        <v>45646</v>
      </c>
      <c r="C322">
        <f>TEXT(A322,"yyyy-mm")</f>
        <v/>
      </c>
      <c r="D322" s="20" t="n">
        <v>3.146046</v>
      </c>
      <c r="E322" s="20" t="n">
        <v>3.151074</v>
      </c>
      <c r="F322" s="20" t="n">
        <v>3.13616</v>
      </c>
      <c r="G322" s="20" t="n">
        <v>3.156436</v>
      </c>
      <c r="H322" s="20" t="n">
        <v>3.157332</v>
      </c>
      <c r="I322" s="20" t="n">
        <v>3.168378</v>
      </c>
      <c r="J322" s="20" t="n">
        <v>3.177954</v>
      </c>
      <c r="K322" s="20" t="n">
        <v>3.318966</v>
      </c>
      <c r="L322" s="20" t="n">
        <v>3.370778</v>
      </c>
      <c r="M322" s="20" t="n">
        <v>3.395352</v>
      </c>
      <c r="N322" s="20" t="n">
        <v>3.19809</v>
      </c>
      <c r="O322" s="20" t="n">
        <v>3.218636</v>
      </c>
      <c r="P322" s="20" t="n">
        <v>3.268898</v>
      </c>
      <c r="Q322" s="20" t="n">
        <v>3.252812</v>
      </c>
      <c r="R322" s="20" t="n">
        <v>3.238812</v>
      </c>
      <c r="S322" s="20" t="n">
        <v>3.248142</v>
      </c>
      <c r="T322" s="23">
        <f>IFERROR(AVERAGE(D322:S322),"")</f>
        <v/>
      </c>
    </row>
    <row r="323">
      <c r="A323" s="22" t="n">
        <v>45649</v>
      </c>
      <c r="B323" s="22" t="n">
        <v>45653</v>
      </c>
      <c r="C323">
        <f>TEXT(A323,"yyyy-mm")</f>
        <v/>
      </c>
      <c r="D323" s="20" t="n">
        <v>3.17835</v>
      </c>
      <c r="E323" s="20" t="n">
        <v>3.18381</v>
      </c>
      <c r="F323" s="20" t="n">
        <v>3.169488</v>
      </c>
      <c r="G323" s="20" t="n">
        <v>3.188448</v>
      </c>
      <c r="H323" s="20" t="n">
        <v>3.187883</v>
      </c>
      <c r="I323" s="20" t="n">
        <v>3.198818</v>
      </c>
      <c r="J323" s="20" t="n">
        <v>3.20571</v>
      </c>
      <c r="K323" s="20" t="n">
        <v>3.354413</v>
      </c>
      <c r="L323" s="20" t="n">
        <v>3.403803</v>
      </c>
      <c r="M323" s="20" t="n">
        <v>3.42866</v>
      </c>
      <c r="N323" s="20" t="n">
        <v>3.229113</v>
      </c>
      <c r="O323" s="20" t="n">
        <v>3.249898</v>
      </c>
      <c r="P323" s="20" t="n">
        <v>3.300738</v>
      </c>
      <c r="Q323" s="20" t="n">
        <v>3.284468</v>
      </c>
      <c r="R323" s="20" t="n">
        <v>3.270068</v>
      </c>
      <c r="S323" s="20" t="n">
        <v>3.276705</v>
      </c>
      <c r="T323" s="23">
        <f>IFERROR(AVERAGE(D323:S323),"")</f>
        <v/>
      </c>
    </row>
    <row r="324">
      <c r="A324" s="22" t="n">
        <v>45656</v>
      </c>
      <c r="B324" s="22" t="n">
        <v>45660</v>
      </c>
      <c r="C324">
        <f>TEXT(A324,"yyyy-mm")</f>
        <v/>
      </c>
      <c r="D324" s="20" t="n">
        <v>3.231363</v>
      </c>
      <c r="E324" s="20" t="n">
        <v>3.2374</v>
      </c>
      <c r="F324" s="20" t="n">
        <v>3.223833</v>
      </c>
      <c r="G324" s="20" t="n">
        <v>3.241133</v>
      </c>
      <c r="H324" s="20" t="n">
        <v>3.238733</v>
      </c>
      <c r="I324" s="20" t="n">
        <v>3.24953</v>
      </c>
      <c r="J324" s="20" t="n">
        <v>3.253043</v>
      </c>
      <c r="K324" s="20" t="n">
        <v>3.408405</v>
      </c>
      <c r="L324" s="20" t="n">
        <v>3.454245</v>
      </c>
      <c r="M324" s="20" t="n">
        <v>3.479058</v>
      </c>
      <c r="N324" s="20" t="n">
        <v>3.279885</v>
      </c>
      <c r="O324" s="20" t="n">
        <v>3.300628</v>
      </c>
      <c r="P324" s="20" t="n">
        <v>3.351378</v>
      </c>
      <c r="Q324" s="20" t="n">
        <v>3.335135</v>
      </c>
      <c r="R324" s="20" t="n">
        <v>3.320645</v>
      </c>
      <c r="S324" s="20" t="n">
        <v>3.32391</v>
      </c>
      <c r="T324" s="23">
        <f>IFERROR(AVERAGE(D324:S324),"")</f>
        <v/>
      </c>
    </row>
    <row r="325">
      <c r="A325" s="22" t="n">
        <v>45663</v>
      </c>
      <c r="B325" s="22" t="n">
        <v>45667</v>
      </c>
      <c r="C325">
        <f>TEXT(A325,"yyyy-mm")</f>
        <v/>
      </c>
      <c r="D325" s="20" t="n">
        <v>3.207554</v>
      </c>
      <c r="E325" s="20" t="n">
        <v>3.214482</v>
      </c>
      <c r="F325" s="20" t="n">
        <v>3.201674</v>
      </c>
      <c r="G325" s="20" t="n">
        <v>3.217456</v>
      </c>
      <c r="H325" s="20" t="n">
        <v>3.2135</v>
      </c>
      <c r="I325" s="20" t="n">
        <v>3.22412</v>
      </c>
      <c r="J325" s="20" t="n">
        <v>3.224902</v>
      </c>
      <c r="K325" s="20" t="n">
        <v>3.383842</v>
      </c>
      <c r="L325" s="20" t="n">
        <v>3.426202</v>
      </c>
      <c r="M325" s="20" t="n">
        <v>3.45069</v>
      </c>
      <c r="N325" s="20" t="n">
        <v>3.254116</v>
      </c>
      <c r="O325" s="20" t="n">
        <v>3.27459</v>
      </c>
      <c r="P325" s="20" t="n">
        <v>3.324676</v>
      </c>
      <c r="Q325" s="20" t="n">
        <v>3.308648</v>
      </c>
      <c r="R325" s="20" t="n">
        <v>3.294308</v>
      </c>
      <c r="S325" s="20" t="n">
        <v>3.294842</v>
      </c>
      <c r="T325" s="23">
        <f>IFERROR(AVERAGE(D325:S325),"")</f>
        <v/>
      </c>
    </row>
    <row r="326">
      <c r="A326" s="22" t="n">
        <v>45670</v>
      </c>
      <c r="B326" s="22" t="n">
        <v>45674</v>
      </c>
      <c r="C326">
        <f>TEXT(A326,"yyyy-mm")</f>
        <v/>
      </c>
      <c r="D326" s="20" t="n">
        <v>3.285914</v>
      </c>
      <c r="E326" s="20" t="n">
        <v>3.292448</v>
      </c>
      <c r="F326" s="20" t="n">
        <v>3.27906</v>
      </c>
      <c r="G326" s="20" t="n">
        <v>3.296128</v>
      </c>
      <c r="H326" s="20" t="n">
        <v>3.293602</v>
      </c>
      <c r="I326" s="20" t="n">
        <v>3.304326</v>
      </c>
      <c r="J326" s="20" t="n">
        <v>3.307748</v>
      </c>
      <c r="K326" s="20" t="n">
        <v>3.460062</v>
      </c>
      <c r="L326" s="20" t="n">
        <v>3.50494</v>
      </c>
      <c r="M326" s="20" t="n">
        <v>3.529272</v>
      </c>
      <c r="N326" s="20" t="n">
        <v>3.333958</v>
      </c>
      <c r="O326" s="20" t="n">
        <v>3.354298</v>
      </c>
      <c r="P326" s="20" t="n">
        <v>3.404066</v>
      </c>
      <c r="Q326" s="20" t="n">
        <v>3.38814</v>
      </c>
      <c r="R326" s="20" t="n">
        <v>3.374066</v>
      </c>
      <c r="S326" s="20" t="n">
        <v>3.377238</v>
      </c>
      <c r="T326" s="23">
        <f>IFERROR(AVERAGE(D326:S326),"")</f>
        <v/>
      </c>
    </row>
    <row r="327">
      <c r="A327" s="22" t="n">
        <v>45677</v>
      </c>
      <c r="B327" s="22" t="n">
        <v>45681</v>
      </c>
      <c r="C327">
        <f>TEXT(A327,"yyyy-mm")</f>
        <v/>
      </c>
      <c r="D327" s="20" t="n">
        <v>3.16395</v>
      </c>
      <c r="E327" s="20" t="n">
        <v>3.178303</v>
      </c>
      <c r="F327" s="20" t="n">
        <v>3.157853</v>
      </c>
      <c r="G327" s="20" t="n">
        <v>3.173943</v>
      </c>
      <c r="H327" s="20" t="n">
        <v>3.18159</v>
      </c>
      <c r="I327" s="20" t="n">
        <v>3.177233</v>
      </c>
      <c r="J327" s="20" t="n">
        <v>3.182405</v>
      </c>
      <c r="K327" s="20" t="n">
        <v>3.336063</v>
      </c>
      <c r="L327" s="20" t="n">
        <v>3.38874</v>
      </c>
      <c r="M327" s="20" t="n">
        <v>3.413493</v>
      </c>
      <c r="N327" s="20" t="n">
        <v>3.22122</v>
      </c>
      <c r="O327" s="20" t="n">
        <v>3.24148</v>
      </c>
      <c r="P327" s="20" t="n">
        <v>3.293358</v>
      </c>
      <c r="Q327" s="20" t="n">
        <v>3.275228</v>
      </c>
      <c r="R327" s="20" t="n">
        <v>3.246295</v>
      </c>
      <c r="S327" s="20" t="n">
        <v>3.252283</v>
      </c>
      <c r="T327" s="23">
        <f>IFERROR(AVERAGE(D327:S327),"")</f>
        <v/>
      </c>
    </row>
    <row r="328">
      <c r="A328" s="22" t="n">
        <v>45684</v>
      </c>
      <c r="B328" s="22" t="n">
        <v>45688</v>
      </c>
      <c r="C328">
        <f>TEXT(A328,"yyyy-mm")</f>
        <v/>
      </c>
      <c r="D328" s="20" t="n">
        <v>3.065096</v>
      </c>
      <c r="E328" s="20" t="n">
        <v>3.082104</v>
      </c>
      <c r="F328" s="20" t="n">
        <v>3.059266</v>
      </c>
      <c r="G328" s="20" t="n">
        <v>3.075146</v>
      </c>
      <c r="H328" s="20" t="n">
        <v>3.086334</v>
      </c>
      <c r="I328" s="20" t="n">
        <v>3.07695</v>
      </c>
      <c r="J328" s="20" t="n">
        <v>3.083022</v>
      </c>
      <c r="K328" s="20" t="n">
        <v>3.235406</v>
      </c>
      <c r="L328" s="20" t="n">
        <v>3.29076</v>
      </c>
      <c r="M328" s="20" t="n">
        <v>3.315496</v>
      </c>
      <c r="N328" s="20" t="n">
        <v>3.12547</v>
      </c>
      <c r="O328" s="20" t="n">
        <v>3.145572</v>
      </c>
      <c r="P328" s="20" t="n">
        <v>3.197806</v>
      </c>
      <c r="Q328" s="20" t="n">
        <v>3.17907</v>
      </c>
      <c r="R328" s="20" t="n">
        <v>3.14534</v>
      </c>
      <c r="S328" s="20" t="n">
        <v>3.152572</v>
      </c>
      <c r="T328" s="23">
        <f>IFERROR(AVERAGE(D328:S328),"")</f>
        <v/>
      </c>
    </row>
    <row r="329">
      <c r="A329" s="22" t="n">
        <v>45691</v>
      </c>
      <c r="B329" s="22" t="n">
        <v>45695</v>
      </c>
      <c r="C329">
        <f>TEXT(A329,"yyyy-mm")</f>
        <v/>
      </c>
      <c r="D329" s="20" t="n">
        <v>3.08017</v>
      </c>
      <c r="E329" s="20" t="n">
        <v>3.097306</v>
      </c>
      <c r="F329" s="20" t="n">
        <v>3.07454</v>
      </c>
      <c r="G329" s="20" t="n">
        <v>3.090308</v>
      </c>
      <c r="H329" s="20" t="n">
        <v>3.1014</v>
      </c>
      <c r="I329" s="20" t="n">
        <v>3.091994</v>
      </c>
      <c r="J329" s="20" t="n">
        <v>3.09792</v>
      </c>
      <c r="K329" s="20" t="n">
        <v>3.248046</v>
      </c>
      <c r="L329" s="20" t="n">
        <v>3.30277</v>
      </c>
      <c r="M329" s="20" t="n">
        <v>3.327136</v>
      </c>
      <c r="N329" s="20" t="n">
        <v>3.139952</v>
      </c>
      <c r="O329" s="20" t="n">
        <v>3.159752</v>
      </c>
      <c r="P329" s="20" t="n">
        <v>3.211198</v>
      </c>
      <c r="Q329" s="20" t="n">
        <v>3.19275</v>
      </c>
      <c r="R329" s="20" t="n">
        <v>3.159364</v>
      </c>
      <c r="S329" s="20" t="n">
        <v>3.16643</v>
      </c>
      <c r="T329" s="23">
        <f>IFERROR(AVERAGE(D329:S329),"")</f>
        <v/>
      </c>
    </row>
    <row r="330">
      <c r="A330" s="22" t="n">
        <v>45698</v>
      </c>
      <c r="B330" s="22" t="n">
        <v>45702</v>
      </c>
      <c r="C330">
        <f>TEXT(A330,"yyyy-mm")</f>
        <v/>
      </c>
      <c r="D330" s="20" t="n">
        <v>3.102022</v>
      </c>
      <c r="E330" s="20" t="n">
        <v>3.118656</v>
      </c>
      <c r="F330" s="20" t="n">
        <v>3.096154</v>
      </c>
      <c r="G330" s="20" t="n">
        <v>3.111378</v>
      </c>
      <c r="H330" s="20" t="n">
        <v>3.121902</v>
      </c>
      <c r="I330" s="20" t="n">
        <v>3.112438</v>
      </c>
      <c r="J330" s="20" t="n">
        <v>3.117358</v>
      </c>
      <c r="K330" s="20" t="n">
        <v>3.268818</v>
      </c>
      <c r="L330" s="20" t="n">
        <v>3.322292</v>
      </c>
      <c r="M330" s="20" t="n">
        <v>3.34654</v>
      </c>
      <c r="N330" s="20" t="n">
        <v>3.160264</v>
      </c>
      <c r="O330" s="20" t="n">
        <v>3.17997</v>
      </c>
      <c r="P330" s="20" t="n">
        <v>3.231174</v>
      </c>
      <c r="Q330" s="20" t="n">
        <v>3.212808</v>
      </c>
      <c r="R330" s="20" t="n">
        <v>3.179476</v>
      </c>
      <c r="S330" s="20" t="n">
        <v>3.18554</v>
      </c>
      <c r="T330" s="23">
        <f>IFERROR(AVERAGE(D330:S330),"")</f>
        <v/>
      </c>
    </row>
    <row r="331">
      <c r="A331" s="22" t="n">
        <v>45705</v>
      </c>
      <c r="B331" s="22" t="n">
        <v>45709</v>
      </c>
      <c r="C331">
        <f>TEXT(A331,"yyyy-mm")</f>
        <v/>
      </c>
      <c r="D331" s="20" t="n">
        <v>3.081333</v>
      </c>
      <c r="E331" s="20" t="n">
        <v>3.097185</v>
      </c>
      <c r="F331" s="20" t="n">
        <v>3.074428</v>
      </c>
      <c r="G331" s="20" t="n">
        <v>3.090285</v>
      </c>
      <c r="H331" s="20" t="n">
        <v>3.101573</v>
      </c>
      <c r="I331" s="20" t="n">
        <v>3.09214</v>
      </c>
      <c r="J331" s="20" t="n">
        <v>3.09853</v>
      </c>
      <c r="K331" s="20" t="n">
        <v>3.24567</v>
      </c>
      <c r="L331" s="20" t="n">
        <v>3.30032</v>
      </c>
      <c r="M331" s="20" t="n">
        <v>3.324365</v>
      </c>
      <c r="N331" s="20" t="n">
        <v>3.139623</v>
      </c>
      <c r="O331" s="20" t="n">
        <v>3.159165</v>
      </c>
      <c r="P331" s="20" t="n">
        <v>3.20995</v>
      </c>
      <c r="Q331" s="20" t="n">
        <v>3.191735</v>
      </c>
      <c r="R331" s="20" t="n">
        <v>3.158633</v>
      </c>
      <c r="S331" s="20" t="n">
        <v>3.166148</v>
      </c>
      <c r="T331" s="23">
        <f>IFERROR(AVERAGE(D331:S331),"")</f>
        <v/>
      </c>
    </row>
    <row r="332">
      <c r="A332" s="22" t="n">
        <v>45712</v>
      </c>
      <c r="B332" s="22" t="n">
        <v>45716</v>
      </c>
      <c r="C332">
        <f>TEXT(A332,"yyyy-mm")</f>
        <v/>
      </c>
      <c r="D332" s="20" t="n">
        <v>3.055876</v>
      </c>
      <c r="E332" s="20" t="n">
        <v>3.071832</v>
      </c>
      <c r="F332" s="20" t="n">
        <v>3.049108</v>
      </c>
      <c r="G332" s="20" t="n">
        <v>3.06493</v>
      </c>
      <c r="H332" s="20" t="n">
        <v>3.076212</v>
      </c>
      <c r="I332" s="20" t="n">
        <v>3.066764</v>
      </c>
      <c r="J332" s="20" t="n">
        <v>3.073158</v>
      </c>
      <c r="K332" s="20" t="n">
        <v>3.223248</v>
      </c>
      <c r="L332" s="20" t="n">
        <v>3.278316</v>
      </c>
      <c r="M332" s="20" t="n">
        <v>3.302772</v>
      </c>
      <c r="N332" s="20" t="n">
        <v>3.114904</v>
      </c>
      <c r="O332" s="20" t="n">
        <v>3.134774</v>
      </c>
      <c r="P332" s="20" t="n">
        <v>3.18642</v>
      </c>
      <c r="Q332" s="20" t="n">
        <v>3.167894</v>
      </c>
      <c r="R332" s="20" t="n">
        <v>3.134378</v>
      </c>
      <c r="S332" s="20" t="n">
        <v>3.141922</v>
      </c>
      <c r="T332" s="23">
        <f>IFERROR(AVERAGE(D332:S332),"")</f>
        <v/>
      </c>
    </row>
    <row r="333">
      <c r="A333" s="22" t="n">
        <v>45719</v>
      </c>
      <c r="B333" s="22" t="n">
        <v>45723</v>
      </c>
      <c r="C333">
        <f>TEXT(A333,"yyyy-mm")</f>
        <v/>
      </c>
      <c r="D333" s="20" t="n">
        <v>3.056758</v>
      </c>
      <c r="E333" s="20" t="n">
        <v>3.07288</v>
      </c>
      <c r="F333" s="20" t="n">
        <v>3.050262</v>
      </c>
      <c r="G333" s="20" t="n">
        <v>3.065848</v>
      </c>
      <c r="H333" s="20" t="n">
        <v>3.07687</v>
      </c>
      <c r="I333" s="20" t="n">
        <v>3.0674</v>
      </c>
      <c r="J333" s="20" t="n">
        <v>3.073332</v>
      </c>
      <c r="K333" s="20" t="n">
        <v>3.227194</v>
      </c>
      <c r="L333" s="20" t="n">
        <v>3.282216</v>
      </c>
      <c r="M333" s="20" t="n">
        <v>3.307062</v>
      </c>
      <c r="N333" s="20" t="n">
        <v>3.116182</v>
      </c>
      <c r="O333" s="20" t="n">
        <v>3.136376</v>
      </c>
      <c r="P333" s="20" t="n">
        <v>3.188842</v>
      </c>
      <c r="Q333" s="20" t="n">
        <v>3.170024</v>
      </c>
      <c r="R333" s="20" t="n">
        <v>3.136098</v>
      </c>
      <c r="S333" s="20" t="n">
        <v>3.143192</v>
      </c>
      <c r="T333" s="23">
        <f>IFERROR(AVERAGE(D333:S333),"")</f>
        <v/>
      </c>
    </row>
    <row r="334">
      <c r="A334" s="22" t="n">
        <v>45726</v>
      </c>
      <c r="B334" s="22" t="n">
        <v>45730</v>
      </c>
      <c r="C334">
        <f>TEXT(A334,"yyyy-mm")</f>
        <v/>
      </c>
      <c r="D334" s="20" t="n">
        <v>2.910904</v>
      </c>
      <c r="E334" s="20" t="n">
        <v>2.92724</v>
      </c>
      <c r="F334" s="20" t="n">
        <v>2.904794</v>
      </c>
      <c r="G334" s="20" t="n">
        <v>2.920004</v>
      </c>
      <c r="H334" s="20" t="n">
        <v>2.93061</v>
      </c>
      <c r="I334" s="20" t="n">
        <v>2.92111</v>
      </c>
      <c r="J334" s="20" t="n">
        <v>2.926272</v>
      </c>
      <c r="K334" s="20" t="n">
        <v>3.078816</v>
      </c>
      <c r="L334" s="20" t="n">
        <v>3.132576</v>
      </c>
      <c r="M334" s="20" t="n">
        <v>3.157014</v>
      </c>
      <c r="N334" s="20" t="n">
        <v>2.969276</v>
      </c>
      <c r="O334" s="20" t="n">
        <v>2.989134</v>
      </c>
      <c r="P334" s="20" t="n">
        <v>3.040742</v>
      </c>
      <c r="Q334" s="20" t="n">
        <v>3.022232</v>
      </c>
      <c r="R334" s="20" t="n">
        <v>2.988678</v>
      </c>
      <c r="S334" s="20" t="n">
        <v>2.994986</v>
      </c>
      <c r="T334" s="23">
        <f>IFERROR(AVERAGE(D334:S334),"")</f>
        <v/>
      </c>
    </row>
    <row r="335">
      <c r="A335" s="22" t="n">
        <v>45733</v>
      </c>
      <c r="B335" s="22" t="n">
        <v>45737</v>
      </c>
      <c r="C335">
        <f>TEXT(A335,"yyyy-mm")</f>
        <v/>
      </c>
      <c r="D335" s="20" t="n">
        <v>2.936922</v>
      </c>
      <c r="E335" s="20" t="n">
        <v>2.952498</v>
      </c>
      <c r="F335" s="20" t="n">
        <v>2.929484</v>
      </c>
      <c r="G335" s="20" t="n">
        <v>2.94593</v>
      </c>
      <c r="H335" s="20" t="n">
        <v>2.957904</v>
      </c>
      <c r="I335" s="20" t="n">
        <v>2.948512</v>
      </c>
      <c r="J335" s="20" t="n">
        <v>2.956176</v>
      </c>
      <c r="K335" s="20" t="n">
        <v>3.099666</v>
      </c>
      <c r="L335" s="20" t="n">
        <v>3.155416</v>
      </c>
      <c r="M335" s="20" t="n">
        <v>3.179318</v>
      </c>
      <c r="N335" s="20" t="n">
        <v>2.995718</v>
      </c>
      <c r="O335" s="20" t="n">
        <v>3.01514</v>
      </c>
      <c r="P335" s="20" t="n">
        <v>3.065606</v>
      </c>
      <c r="Q335" s="20" t="n">
        <v>3.047506</v>
      </c>
      <c r="R335" s="20" t="n">
        <v>3.014588</v>
      </c>
      <c r="S335" s="20" t="n">
        <v>3.023374</v>
      </c>
      <c r="T335" s="23">
        <f>IFERROR(AVERAGE(D335:S335),"")</f>
        <v/>
      </c>
    </row>
    <row r="336">
      <c r="A336" s="22" t="n">
        <v>45740</v>
      </c>
      <c r="B336" s="22" t="n">
        <v>45744</v>
      </c>
      <c r="C336">
        <f>TEXT(A336,"yyyy-mm")</f>
        <v/>
      </c>
      <c r="D336" s="20" t="n">
        <v>3.047766</v>
      </c>
      <c r="E336" s="20" t="n">
        <v>3.06262</v>
      </c>
      <c r="F336" s="20" t="n">
        <v>3.039198</v>
      </c>
      <c r="G336" s="20" t="n">
        <v>3.056466</v>
      </c>
      <c r="H336" s="20" t="n">
        <v>3.069272</v>
      </c>
      <c r="I336" s="20" t="n">
        <v>3.059976</v>
      </c>
      <c r="J336" s="20" t="n">
        <v>3.069108</v>
      </c>
      <c r="K336" s="20" t="n">
        <v>3.21122</v>
      </c>
      <c r="L336" s="20" t="n">
        <v>3.268918</v>
      </c>
      <c r="M336" s="20" t="n">
        <v>3.293078</v>
      </c>
      <c r="N336" s="20" t="n">
        <v>3.107494</v>
      </c>
      <c r="O336" s="20" t="n">
        <v>3.127126</v>
      </c>
      <c r="P336" s="20" t="n">
        <v>3.17814</v>
      </c>
      <c r="Q336" s="20" t="n">
        <v>3.159842</v>
      </c>
      <c r="R336" s="20" t="n">
        <v>3.126768</v>
      </c>
      <c r="S336" s="20" t="n">
        <v>3.13703</v>
      </c>
      <c r="T336" s="23">
        <f>IFERROR(AVERAGE(D336:S336),"")</f>
        <v/>
      </c>
    </row>
    <row r="337">
      <c r="A337" s="22" t="n">
        <v>45747</v>
      </c>
      <c r="B337" s="22" t="n">
        <v>45751</v>
      </c>
      <c r="C337">
        <f>TEXT(A337,"yyyy-mm")</f>
        <v/>
      </c>
      <c r="D337" s="20" t="n">
        <v>3.06867</v>
      </c>
      <c r="E337" s="20" t="n">
        <v>3.083214</v>
      </c>
      <c r="F337" s="20" t="n">
        <v>3.05958</v>
      </c>
      <c r="G337" s="20" t="n">
        <v>3.077322</v>
      </c>
      <c r="H337" s="20" t="n">
        <v>3.090658</v>
      </c>
      <c r="I337" s="20" t="n">
        <v>3.0814</v>
      </c>
      <c r="J337" s="20" t="n">
        <v>3.091504</v>
      </c>
      <c r="K337" s="20" t="n">
        <v>3.230662</v>
      </c>
      <c r="L337" s="20" t="n">
        <v>3.289214</v>
      </c>
      <c r="M337" s="20" t="n">
        <v>3.313244</v>
      </c>
      <c r="N337" s="20" t="n">
        <v>3.12867</v>
      </c>
      <c r="O337" s="20" t="n">
        <v>3.148196</v>
      </c>
      <c r="P337" s="20" t="n">
        <v>3.19893</v>
      </c>
      <c r="Q337" s="20" t="n">
        <v>3.180734</v>
      </c>
      <c r="R337" s="20" t="n">
        <v>3.14783</v>
      </c>
      <c r="S337" s="20" t="n">
        <v>3.159058</v>
      </c>
      <c r="T337" s="23">
        <f>IFERROR(AVERAGE(D337:S337),"")</f>
        <v/>
      </c>
    </row>
    <row r="338">
      <c r="A338" s="22" t="n">
        <v>45754</v>
      </c>
      <c r="B338" s="22" t="n">
        <v>45758</v>
      </c>
      <c r="C338">
        <f>TEXT(A338,"yyyy-mm")</f>
        <v/>
      </c>
      <c r="D338" s="20" t="n">
        <v>2.758296</v>
      </c>
      <c r="E338" s="20" t="n">
        <v>2.773714</v>
      </c>
      <c r="F338" s="20" t="n">
        <v>2.750774</v>
      </c>
      <c r="G338" s="20" t="n">
        <v>2.766924</v>
      </c>
      <c r="H338" s="20" t="n">
        <v>2.77844</v>
      </c>
      <c r="I338" s="20" t="n">
        <v>2.769064</v>
      </c>
      <c r="J338" s="20" t="n">
        <v>2.775778</v>
      </c>
      <c r="K338" s="20" t="n">
        <v>2.927948</v>
      </c>
      <c r="L338" s="20" t="n">
        <v>2.984062</v>
      </c>
      <c r="M338" s="20" t="n">
        <v>3.008944</v>
      </c>
      <c r="N338" s="20" t="n">
        <v>2.817804</v>
      </c>
      <c r="O338" s="20" t="n">
        <v>2.838022</v>
      </c>
      <c r="P338" s="20" t="n">
        <v>2.890564</v>
      </c>
      <c r="Q338" s="20" t="n">
        <v>2.871718</v>
      </c>
      <c r="R338" s="20" t="n">
        <v>2.837856</v>
      </c>
      <c r="S338" s="20" t="n">
        <v>2.845734</v>
      </c>
      <c r="T338" s="23">
        <f>IFERROR(AVERAGE(D338:S338),"")</f>
        <v/>
      </c>
    </row>
    <row r="339">
      <c r="A339" s="22" t="n">
        <v>45761</v>
      </c>
      <c r="B339" s="22" t="n">
        <v>45765</v>
      </c>
      <c r="C339">
        <f>TEXT(A339,"yyyy-mm")</f>
        <v/>
      </c>
      <c r="D339" s="20" t="n">
        <v>2.733888</v>
      </c>
      <c r="E339" s="20" t="n">
        <v>2.7492</v>
      </c>
      <c r="F339" s="20" t="n">
        <v>2.7263</v>
      </c>
      <c r="G339" s="20" t="n">
        <v>2.742268</v>
      </c>
      <c r="H339" s="20" t="n">
        <v>2.7535</v>
      </c>
      <c r="I339" s="20" t="n">
        <v>2.74414</v>
      </c>
      <c r="J339" s="20" t="n">
        <v>2.750263</v>
      </c>
      <c r="K339" s="20" t="n">
        <v>2.901883</v>
      </c>
      <c r="L339" s="20" t="n">
        <v>2.957278</v>
      </c>
      <c r="M339" s="20" t="n">
        <v>2.981935</v>
      </c>
      <c r="N339" s="20" t="n">
        <v>2.79251</v>
      </c>
      <c r="O339" s="20" t="n">
        <v>2.81255</v>
      </c>
      <c r="P339" s="20" t="n">
        <v>2.86462</v>
      </c>
      <c r="Q339" s="20" t="n">
        <v>2.845945</v>
      </c>
      <c r="R339" s="20" t="n">
        <v>2.812315</v>
      </c>
      <c r="S339" s="20" t="n">
        <v>2.81959</v>
      </c>
      <c r="T339" s="23">
        <f>IFERROR(AVERAGE(D339:S339),"")</f>
        <v/>
      </c>
    </row>
    <row r="340">
      <c r="A340" s="22" t="n">
        <v>45768</v>
      </c>
      <c r="B340" s="22" t="n">
        <v>45772</v>
      </c>
      <c r="C340">
        <f>TEXT(A340,"yyyy-mm")</f>
        <v/>
      </c>
      <c r="D340" s="20" t="n">
        <v>2.750162</v>
      </c>
      <c r="E340" s="20" t="n">
        <v>2.765926</v>
      </c>
      <c r="F340" s="20" t="n">
        <v>2.743182</v>
      </c>
      <c r="G340" s="20" t="n">
        <v>2.758942</v>
      </c>
      <c r="H340" s="20" t="n">
        <v>2.770074</v>
      </c>
      <c r="I340" s="20" t="n">
        <v>2.76065</v>
      </c>
      <c r="J340" s="20" t="n">
        <v>2.766688</v>
      </c>
      <c r="K340" s="20" t="n">
        <v>2.914714</v>
      </c>
      <c r="L340" s="20" t="n">
        <v>2.969152</v>
      </c>
      <c r="M340" s="20" t="n">
        <v>2.993242</v>
      </c>
      <c r="N340" s="20" t="n">
        <v>2.808186</v>
      </c>
      <c r="O340" s="20" t="n">
        <v>2.827764</v>
      </c>
      <c r="P340" s="20" t="n">
        <v>2.87863</v>
      </c>
      <c r="Q340" s="20" t="n">
        <v>2.860384</v>
      </c>
      <c r="R340" s="20" t="n">
        <v>2.827254</v>
      </c>
      <c r="S340" s="20" t="n">
        <v>2.83442</v>
      </c>
      <c r="T340" s="23">
        <f>IFERROR(AVERAGE(D340:S340),"")</f>
        <v/>
      </c>
    </row>
    <row r="341">
      <c r="A341" s="22" t="n">
        <v>45775</v>
      </c>
      <c r="B341" s="22" t="n">
        <v>45779</v>
      </c>
      <c r="C341">
        <f>TEXT(A341,"yyyy-mm")</f>
        <v/>
      </c>
      <c r="D341" s="20" t="n">
        <v>2.693436</v>
      </c>
      <c r="E341" s="20" t="n">
        <v>2.709146</v>
      </c>
      <c r="F341" s="20" t="n">
        <v>2.686344</v>
      </c>
      <c r="G341" s="20" t="n">
        <v>2.702262</v>
      </c>
      <c r="H341" s="20" t="n">
        <v>2.713582</v>
      </c>
      <c r="I341" s="20" t="n">
        <v>2.704168</v>
      </c>
      <c r="J341" s="20" t="n">
        <v>2.710576</v>
      </c>
      <c r="K341" s="20" t="n">
        <v>2.855958</v>
      </c>
      <c r="L341" s="20" t="n">
        <v>2.910434</v>
      </c>
      <c r="M341" s="20" t="n">
        <v>2.934254</v>
      </c>
      <c r="N341" s="20" t="n">
        <v>2.75127</v>
      </c>
      <c r="O341" s="20" t="n">
        <v>2.770626</v>
      </c>
      <c r="P341" s="20" t="n">
        <v>2.820926</v>
      </c>
      <c r="Q341" s="20" t="n">
        <v>2.802884</v>
      </c>
      <c r="R341" s="20" t="n">
        <v>2.770024</v>
      </c>
      <c r="S341" s="20" t="n">
        <v>2.777548</v>
      </c>
      <c r="T341" s="23">
        <f>IFERROR(AVERAGE(D341:S341),"")</f>
        <v/>
      </c>
    </row>
    <row r="342">
      <c r="A342" s="22" t="n">
        <v>45782</v>
      </c>
      <c r="B342" s="22" t="n">
        <v>45786</v>
      </c>
      <c r="C342">
        <f>TEXT(A342,"yyyy-mm")</f>
        <v/>
      </c>
      <c r="D342" s="20" t="n">
        <v>2.669576</v>
      </c>
      <c r="E342" s="20" t="n">
        <v>2.685402</v>
      </c>
      <c r="F342" s="20" t="n">
        <v>2.662688</v>
      </c>
      <c r="G342" s="20" t="n">
        <v>2.678392</v>
      </c>
      <c r="H342" s="20" t="n">
        <v>2.689464</v>
      </c>
      <c r="I342" s="20" t="n">
        <v>2.680032</v>
      </c>
      <c r="J342" s="20" t="n">
        <v>2.685974</v>
      </c>
      <c r="K342" s="20" t="n">
        <v>2.833288</v>
      </c>
      <c r="L342" s="20" t="n">
        <v>2.88746</v>
      </c>
      <c r="M342" s="20" t="n">
        <v>2.911422</v>
      </c>
      <c r="N342" s="20" t="n">
        <v>2.72737</v>
      </c>
      <c r="O342" s="20" t="n">
        <v>2.746838</v>
      </c>
      <c r="P342" s="20" t="n">
        <v>2.797432</v>
      </c>
      <c r="Q342" s="20" t="n">
        <v>2.779284</v>
      </c>
      <c r="R342" s="20" t="n">
        <v>2.746274</v>
      </c>
      <c r="S342" s="20" t="n">
        <v>2.753338</v>
      </c>
      <c r="T342" s="23">
        <f>IFERROR(AVERAGE(D342:S342),"")</f>
        <v/>
      </c>
    </row>
    <row r="343">
      <c r="A343" s="22" t="n">
        <v>45789</v>
      </c>
      <c r="B343" s="22" t="n">
        <v>45793</v>
      </c>
      <c r="C343">
        <f>TEXT(A343,"yyyy-mm")</f>
        <v/>
      </c>
      <c r="D343" s="20" t="n">
        <v>2.850678</v>
      </c>
      <c r="E343" s="20" t="n">
        <v>2.866934</v>
      </c>
      <c r="F343" s="20" t="n">
        <v>2.844456</v>
      </c>
      <c r="G343" s="20" t="n">
        <v>2.859714</v>
      </c>
      <c r="H343" s="20" t="n">
        <v>2.870358</v>
      </c>
      <c r="I343" s="20" t="n">
        <v>2.860864</v>
      </c>
      <c r="J343" s="20" t="n">
        <v>2.866072</v>
      </c>
      <c r="K343" s="20" t="n">
        <v>3.014096</v>
      </c>
      <c r="L343" s="20" t="n">
        <v>3.067238</v>
      </c>
      <c r="M343" s="20" t="n">
        <v>3.09106</v>
      </c>
      <c r="N343" s="20" t="n">
        <v>2.908046</v>
      </c>
      <c r="O343" s="20" t="n">
        <v>2.927406</v>
      </c>
      <c r="P343" s="20" t="n">
        <v>2.977716</v>
      </c>
      <c r="Q343" s="20" t="n">
        <v>2.95967</v>
      </c>
      <c r="R343" s="20" t="n">
        <v>2.92673</v>
      </c>
      <c r="S343" s="20" t="n">
        <v>2.933058</v>
      </c>
      <c r="T343" s="23">
        <f>IFERROR(AVERAGE(D343:S343),"")</f>
        <v/>
      </c>
    </row>
    <row r="344">
      <c r="A344" s="22" t="n">
        <v>45796</v>
      </c>
      <c r="B344" s="22" t="n">
        <v>45800</v>
      </c>
      <c r="C344">
        <f>TEXT(A344,"yyyy-mm")</f>
        <v/>
      </c>
      <c r="D344" s="20" t="n">
        <v>2.818522</v>
      </c>
      <c r="E344" s="20" t="n">
        <v>2.834848</v>
      </c>
      <c r="F344" s="20" t="n">
        <v>2.812398</v>
      </c>
      <c r="G344" s="20" t="n">
        <v>2.8276</v>
      </c>
      <c r="H344" s="20" t="n">
        <v>2.838188</v>
      </c>
      <c r="I344" s="20" t="n">
        <v>2.828692</v>
      </c>
      <c r="J344" s="20" t="n">
        <v>2.833814</v>
      </c>
      <c r="K344" s="20" t="n">
        <v>2.981796</v>
      </c>
      <c r="L344" s="20" t="n">
        <v>3.034792</v>
      </c>
      <c r="M344" s="20" t="n">
        <v>3.058578</v>
      </c>
      <c r="N344" s="20" t="n">
        <v>2.875828</v>
      </c>
      <c r="O344" s="20" t="n">
        <v>2.895158</v>
      </c>
      <c r="P344" s="20" t="n">
        <v>2.945392</v>
      </c>
      <c r="Q344" s="20" t="n">
        <v>2.927378</v>
      </c>
      <c r="R344" s="20" t="n">
        <v>2.894462</v>
      </c>
      <c r="S344" s="20" t="n">
        <v>2.9007</v>
      </c>
      <c r="T344" s="23">
        <f>IFERROR(AVERAGE(D344:S344),"")</f>
        <v/>
      </c>
    </row>
    <row r="345">
      <c r="A345" s="22" t="n">
        <v>45803</v>
      </c>
      <c r="B345" s="22" t="n">
        <v>45807</v>
      </c>
      <c r="C345">
        <f>TEXT(A345,"yyyy-mm")</f>
        <v/>
      </c>
      <c r="D345" s="20" t="n">
        <v>2.685088</v>
      </c>
      <c r="E345" s="20" t="n">
        <v>2.700518</v>
      </c>
      <c r="F345" s="20" t="n">
        <v>2.677428</v>
      </c>
      <c r="G345" s="20" t="n">
        <v>2.69403</v>
      </c>
      <c r="H345" s="20" t="n">
        <v>2.70616</v>
      </c>
      <c r="I345" s="20" t="n">
        <v>2.696783</v>
      </c>
      <c r="J345" s="20" t="n">
        <v>2.70472</v>
      </c>
      <c r="K345" s="20" t="n">
        <v>2.847618</v>
      </c>
      <c r="L345" s="20" t="n">
        <v>2.903683</v>
      </c>
      <c r="M345" s="20" t="n">
        <v>2.927588</v>
      </c>
      <c r="N345" s="20" t="n">
        <v>2.743973</v>
      </c>
      <c r="O345" s="20" t="n">
        <v>2.763398</v>
      </c>
      <c r="P345" s="20" t="n">
        <v>2.81387</v>
      </c>
      <c r="Q345" s="20" t="n">
        <v>2.795763</v>
      </c>
      <c r="R345" s="20" t="n">
        <v>2.762868</v>
      </c>
      <c r="S345" s="20" t="n">
        <v>2.771923</v>
      </c>
      <c r="T345" s="23">
        <f>IFERROR(AVERAGE(D345:S345),"")</f>
        <v/>
      </c>
    </row>
    <row r="346">
      <c r="A346" s="22" t="n">
        <v>45810</v>
      </c>
      <c r="B346" s="22" t="n">
        <v>45814</v>
      </c>
      <c r="C346">
        <f>TEXT(A346,"yyyy-mm")</f>
        <v/>
      </c>
      <c r="D346" s="20" t="n">
        <v>2.626508</v>
      </c>
      <c r="E346" s="20" t="n">
        <v>2.642248</v>
      </c>
      <c r="F346" s="20" t="n">
        <v>2.619414</v>
      </c>
      <c r="G346" s="20" t="n">
        <v>2.635446</v>
      </c>
      <c r="H346" s="20" t="n">
        <v>2.646922</v>
      </c>
      <c r="I346" s="20" t="n">
        <v>2.637506</v>
      </c>
      <c r="J346" s="20" t="n">
        <v>2.644238</v>
      </c>
      <c r="K346" s="20" t="n">
        <v>2.788068</v>
      </c>
      <c r="L346" s="20" t="n">
        <v>2.842664</v>
      </c>
      <c r="M346" s="20" t="n">
        <v>2.866352</v>
      </c>
      <c r="N346" s="20" t="n">
        <v>2.684398</v>
      </c>
      <c r="O346" s="20" t="n">
        <v>2.703648</v>
      </c>
      <c r="P346" s="20" t="n">
        <v>2.75366</v>
      </c>
      <c r="Q346" s="20" t="n">
        <v>2.73572</v>
      </c>
      <c r="R346" s="20" t="n">
        <v>2.70299</v>
      </c>
      <c r="S346" s="20" t="n">
        <v>2.710834</v>
      </c>
      <c r="T346" s="23">
        <f>IFERROR(AVERAGE(D346:S346),"")</f>
        <v/>
      </c>
    </row>
    <row r="347">
      <c r="A347" s="22" t="n">
        <v>45817</v>
      </c>
      <c r="B347" s="22" t="n">
        <v>45821</v>
      </c>
      <c r="C347">
        <f>TEXT(A347,"yyyy-mm")</f>
        <v/>
      </c>
      <c r="D347" s="20" t="n">
        <v>2.67648</v>
      </c>
      <c r="E347" s="20" t="n">
        <v>2.69213</v>
      </c>
      <c r="F347" s="20" t="n">
        <v>2.669264</v>
      </c>
      <c r="G347" s="20" t="n">
        <v>2.685324</v>
      </c>
      <c r="H347" s="20" t="n">
        <v>2.696808</v>
      </c>
      <c r="I347" s="20" t="n">
        <v>2.6874</v>
      </c>
      <c r="J347" s="20" t="n">
        <v>2.694112</v>
      </c>
      <c r="K347" s="20" t="n">
        <v>2.835726</v>
      </c>
      <c r="L347" s="20" t="n">
        <v>2.890002</v>
      </c>
      <c r="M347" s="20" t="n">
        <v>2.913378</v>
      </c>
      <c r="N347" s="20" t="n">
        <v>2.733792</v>
      </c>
      <c r="O347" s="20" t="n">
        <v>2.752792</v>
      </c>
      <c r="P347" s="20" t="n">
        <v>2.802156</v>
      </c>
      <c r="Q347" s="20" t="n">
        <v>2.78445</v>
      </c>
      <c r="R347" s="20" t="n">
        <v>2.752034</v>
      </c>
      <c r="S347" s="20" t="n">
        <v>2.759842</v>
      </c>
      <c r="T347" s="23">
        <f>IFERROR(AVERAGE(D347:S347),"")</f>
        <v/>
      </c>
    </row>
    <row r="348">
      <c r="A348" s="22" t="n">
        <v>45824</v>
      </c>
      <c r="B348" s="22" t="n">
        <v>45828</v>
      </c>
      <c r="C348">
        <f>TEXT(A348,"yyyy-mm")</f>
        <v/>
      </c>
      <c r="D348" s="20" t="n">
        <v>2.856963</v>
      </c>
      <c r="E348" s="20" t="n">
        <v>2.87186</v>
      </c>
      <c r="F348" s="20" t="n">
        <v>2.848593</v>
      </c>
      <c r="G348" s="20" t="n">
        <v>2.865425</v>
      </c>
      <c r="H348" s="20" t="n">
        <v>2.877665</v>
      </c>
      <c r="I348" s="20" t="n">
        <v>2.868363</v>
      </c>
      <c r="J348" s="20" t="n">
        <v>2.876375</v>
      </c>
      <c r="K348" s="20" t="n">
        <v>3.013598</v>
      </c>
      <c r="L348" s="20" t="n">
        <v>3.069168</v>
      </c>
      <c r="M348" s="20" t="n">
        <v>3.092343</v>
      </c>
      <c r="N348" s="20" t="n">
        <v>2.914328</v>
      </c>
      <c r="O348" s="20" t="n">
        <v>2.933158</v>
      </c>
      <c r="P348" s="20" t="n">
        <v>2.98209</v>
      </c>
      <c r="Q348" s="20" t="n">
        <v>2.964538</v>
      </c>
      <c r="R348" s="20" t="n">
        <v>2.932425</v>
      </c>
      <c r="S348" s="20" t="n">
        <v>2.941528</v>
      </c>
      <c r="T348" s="23">
        <f>IFERROR(AVERAGE(D348:S348),"")</f>
        <v/>
      </c>
    </row>
    <row r="349">
      <c r="A349" s="22" t="n">
        <v>45831</v>
      </c>
      <c r="B349" s="22" t="n">
        <v>45835</v>
      </c>
      <c r="C349">
        <f>TEXT(A349,"yyyy-mm")</f>
        <v/>
      </c>
      <c r="D349" s="20" t="n">
        <v>2.747354</v>
      </c>
      <c r="E349" s="20" t="n">
        <v>2.780972</v>
      </c>
      <c r="F349" s="20" t="n">
        <v>2.758976</v>
      </c>
      <c r="G349" s="20" t="n">
        <v>2.770972</v>
      </c>
      <c r="H349" s="20" t="n">
        <v>2.776122</v>
      </c>
      <c r="I349" s="20" t="n">
        <v>2.76706</v>
      </c>
      <c r="J349" s="20" t="n">
        <v>2.77575</v>
      </c>
      <c r="K349" s="20" t="n">
        <v>2.924146</v>
      </c>
      <c r="L349" s="20" t="n">
        <v>2.967816</v>
      </c>
      <c r="M349" s="20" t="n">
        <v>2.991014</v>
      </c>
      <c r="N349" s="20" t="n">
        <v>2.812822</v>
      </c>
      <c r="O349" s="20" t="n">
        <v>2.831672</v>
      </c>
      <c r="P349" s="20" t="n">
        <v>2.880654</v>
      </c>
      <c r="Q349" s="20" t="n">
        <v>2.863084</v>
      </c>
      <c r="R349" s="20" t="n">
        <v>2.83119</v>
      </c>
      <c r="S349" s="20" t="n">
        <v>2.84097</v>
      </c>
      <c r="T349" s="23">
        <f>IFERROR(AVERAGE(D349:S349),"")</f>
        <v/>
      </c>
    </row>
    <row r="350">
      <c r="A350" s="22" t="n">
        <v>45838</v>
      </c>
      <c r="B350" s="22" t="n">
        <v>45842</v>
      </c>
      <c r="C350">
        <f>TEXT(A350,"yyyy-mm")</f>
        <v/>
      </c>
      <c r="D350" s="20" t="n">
        <v>2.557928</v>
      </c>
      <c r="E350" s="20" t="n">
        <v>2.592355</v>
      </c>
      <c r="F350" s="20" t="n">
        <v>2.570463</v>
      </c>
      <c r="G350" s="20" t="n">
        <v>2.582355</v>
      </c>
      <c r="H350" s="20" t="n">
        <v>2.587498</v>
      </c>
      <c r="I350" s="20" t="n">
        <v>2.578388</v>
      </c>
      <c r="J350" s="20" t="n">
        <v>2.587493</v>
      </c>
      <c r="K350" s="20" t="n">
        <v>2.733493</v>
      </c>
      <c r="L350" s="20" t="n">
        <v>2.776705</v>
      </c>
      <c r="M350" s="20" t="n">
        <v>2.7996</v>
      </c>
      <c r="N350" s="20" t="n">
        <v>2.62372</v>
      </c>
      <c r="O350" s="20" t="n">
        <v>2.642325</v>
      </c>
      <c r="P350" s="20" t="n">
        <v>2.690673</v>
      </c>
      <c r="Q350" s="20" t="n">
        <v>2.67333</v>
      </c>
      <c r="R350" s="20" t="n">
        <v>2.641688</v>
      </c>
      <c r="S350" s="20" t="n">
        <v>2.651865</v>
      </c>
      <c r="T350" s="23">
        <f>IFERROR(AVERAGE(D350:S350),"")</f>
        <v/>
      </c>
    </row>
    <row r="351">
      <c r="A351" s="22" t="n">
        <v>45845</v>
      </c>
      <c r="B351" s="22" t="n">
        <v>45849</v>
      </c>
      <c r="C351">
        <f>TEXT(A351,"yyyy-mm")</f>
        <v/>
      </c>
      <c r="D351" s="20" t="n">
        <v>2.652626</v>
      </c>
      <c r="E351" s="20" t="n">
        <v>2.681732</v>
      </c>
      <c r="F351" s="20" t="n">
        <v>2.660336</v>
      </c>
      <c r="G351" s="20" t="n">
        <v>2.671732</v>
      </c>
      <c r="H351" s="20" t="n">
        <v>2.676838</v>
      </c>
      <c r="I351" s="20" t="n">
        <v>2.667494</v>
      </c>
      <c r="J351" s="20" t="n">
        <v>2.671748</v>
      </c>
      <c r="K351" s="20" t="n">
        <v>2.825244</v>
      </c>
      <c r="L351" s="20" t="n">
        <v>2.868232</v>
      </c>
      <c r="M351" s="20" t="n">
        <v>2.891388</v>
      </c>
      <c r="N351" s="20" t="n">
        <v>2.713478</v>
      </c>
      <c r="O351" s="20" t="n">
        <v>2.7323</v>
      </c>
      <c r="P351" s="20" t="n">
        <v>2.781204</v>
      </c>
      <c r="Q351" s="20" t="n">
        <v>2.76366</v>
      </c>
      <c r="R351" s="20" t="n">
        <v>2.731526</v>
      </c>
      <c r="S351" s="20" t="n">
        <v>2.736866</v>
      </c>
      <c r="T351" s="23">
        <f>IFERROR(AVERAGE(D351:S351),"")</f>
        <v/>
      </c>
    </row>
    <row r="352">
      <c r="A352" s="22" t="n">
        <v>45852</v>
      </c>
      <c r="B352" s="22" t="n">
        <v>45856</v>
      </c>
      <c r="C352">
        <f>TEXT(A352,"yyyy-mm")</f>
        <v/>
      </c>
      <c r="D352" s="20" t="n">
        <v>2.646984</v>
      </c>
      <c r="E352" s="20" t="n">
        <v>2.674618</v>
      </c>
      <c r="F352" s="20" t="n">
        <v>2.653374</v>
      </c>
      <c r="G352" s="20" t="n">
        <v>2.664618</v>
      </c>
      <c r="H352" s="20" t="n">
        <v>2.669708</v>
      </c>
      <c r="I352" s="20" t="n">
        <v>2.660292</v>
      </c>
      <c r="J352" s="20" t="n">
        <v>2.663162</v>
      </c>
      <c r="K352" s="20" t="n">
        <v>2.820404</v>
      </c>
      <c r="L352" s="20" t="n">
        <v>2.863562</v>
      </c>
      <c r="M352" s="20" t="n">
        <v>2.88702</v>
      </c>
      <c r="N352" s="20" t="n">
        <v>2.70682</v>
      </c>
      <c r="O352" s="20" t="n">
        <v>2.725882</v>
      </c>
      <c r="P352" s="20" t="n">
        <v>2.775416</v>
      </c>
      <c r="Q352" s="20" t="n">
        <v>2.75765</v>
      </c>
      <c r="R352" s="20" t="n">
        <v>2.725144</v>
      </c>
      <c r="S352" s="20" t="n">
        <v>2.729116</v>
      </c>
      <c r="T352" s="23">
        <f>IFERROR(AVERAGE(D352:S352),"")</f>
        <v/>
      </c>
    </row>
    <row r="353">
      <c r="A353" s="22" t="n">
        <v>45859</v>
      </c>
      <c r="B353" s="22" t="n">
        <v>45863</v>
      </c>
      <c r="C353">
        <f>TEXT(A353,"yyyy-mm")</f>
        <v/>
      </c>
      <c r="D353" s="20" t="n">
        <v>2.597866</v>
      </c>
      <c r="E353" s="20" t="n">
        <v>2.626914</v>
      </c>
      <c r="F353" s="20" t="n">
        <v>2.605512</v>
      </c>
      <c r="G353" s="20" t="n">
        <v>2.616914</v>
      </c>
      <c r="H353" s="20" t="n">
        <v>2.622018</v>
      </c>
      <c r="I353" s="20" t="n">
        <v>2.612674</v>
      </c>
      <c r="J353" s="20" t="n">
        <v>2.616896</v>
      </c>
      <c r="K353" s="20" t="n">
        <v>2.77186</v>
      </c>
      <c r="L353" s="20" t="n">
        <v>2.815078</v>
      </c>
      <c r="M353" s="20" t="n">
        <v>2.83844</v>
      </c>
      <c r="N353" s="20" t="n">
        <v>2.658976</v>
      </c>
      <c r="O353" s="20" t="n">
        <v>2.677962</v>
      </c>
      <c r="P353" s="20" t="n">
        <v>2.727292</v>
      </c>
      <c r="Q353" s="20" t="n">
        <v>2.709598</v>
      </c>
      <c r="R353" s="20" t="n">
        <v>2.677262</v>
      </c>
      <c r="S353" s="20" t="n">
        <v>2.682578</v>
      </c>
      <c r="T353" s="23">
        <f>IFERROR(AVERAGE(D353:S353),"")</f>
        <v/>
      </c>
    </row>
    <row r="354">
      <c r="A354" s="22" t="n">
        <v>45866</v>
      </c>
      <c r="B354" s="22" t="n">
        <v>45870</v>
      </c>
      <c r="C354">
        <f>TEXT(A354,"yyyy-mm")</f>
        <v/>
      </c>
      <c r="D354" s="20" t="n">
        <v>2.70595</v>
      </c>
      <c r="E354" s="20" t="n">
        <v>2.736718</v>
      </c>
      <c r="F354" s="20" t="n">
        <v>2.715202</v>
      </c>
      <c r="G354" s="20" t="n">
        <v>2.726718</v>
      </c>
      <c r="H354" s="20" t="n">
        <v>2.731832</v>
      </c>
      <c r="I354" s="20" t="n">
        <v>2.722544</v>
      </c>
      <c r="J354" s="20" t="n">
        <v>2.72827</v>
      </c>
      <c r="K354" s="20" t="n">
        <v>2.88268</v>
      </c>
      <c r="L354" s="20" t="n">
        <v>2.926206</v>
      </c>
      <c r="M354" s="20" t="n">
        <v>2.949726</v>
      </c>
      <c r="N354" s="20" t="n">
        <v>2.769044</v>
      </c>
      <c r="O354" s="20" t="n">
        <v>2.788156</v>
      </c>
      <c r="P354" s="20" t="n">
        <v>2.837822</v>
      </c>
      <c r="Q354" s="20" t="n">
        <v>2.82001</v>
      </c>
      <c r="R354" s="20" t="n">
        <v>2.787572</v>
      </c>
      <c r="S354" s="20" t="n">
        <v>2.7944</v>
      </c>
      <c r="T354" s="23">
        <f>IFERROR(AVERAGE(D354:S354),"")</f>
        <v/>
      </c>
    </row>
    <row r="355">
      <c r="A355" s="22" t="n">
        <v>45873</v>
      </c>
      <c r="B355" s="22" t="n">
        <v>45877</v>
      </c>
      <c r="C355">
        <f>TEXT(A355,"yyyy-mm")</f>
        <v/>
      </c>
      <c r="D355" s="20" t="n">
        <v>2.584776</v>
      </c>
      <c r="E355" s="20" t="n">
        <v>2.618098</v>
      </c>
      <c r="F355" s="20" t="n">
        <v>2.596396</v>
      </c>
      <c r="G355" s="20" t="n">
        <v>2.608098</v>
      </c>
      <c r="H355" s="20" t="n">
        <v>2.613228</v>
      </c>
      <c r="I355" s="20" t="n">
        <v>2.604026</v>
      </c>
      <c r="J355" s="20" t="n">
        <v>2.611976</v>
      </c>
      <c r="K355" s="20" t="n">
        <v>2.760492</v>
      </c>
      <c r="L355" s="20" t="n">
        <v>2.803672</v>
      </c>
      <c r="M355" s="20" t="n">
        <v>2.826722</v>
      </c>
      <c r="N355" s="20" t="n">
        <v>2.649686</v>
      </c>
      <c r="O355" s="20" t="n">
        <v>2.668414</v>
      </c>
      <c r="P355" s="20" t="n">
        <v>2.717076</v>
      </c>
      <c r="Q355" s="20" t="n">
        <v>2.699622</v>
      </c>
      <c r="R355" s="20" t="n">
        <v>2.667736</v>
      </c>
      <c r="S355" s="20" t="n">
        <v>2.67677</v>
      </c>
      <c r="T355" s="23">
        <f>IFERROR(AVERAGE(D355:S355),"")</f>
        <v/>
      </c>
    </row>
    <row r="356">
      <c r="A356" s="22" t="n">
        <v>45880</v>
      </c>
      <c r="B356" s="22" t="n">
        <v>45884</v>
      </c>
      <c r="C356">
        <f>TEXT(A356,"yyyy-mm")</f>
        <v/>
      </c>
      <c r="D356" s="20" t="n">
        <v>2.487378</v>
      </c>
      <c r="E356" s="20" t="n">
        <v>2.515594</v>
      </c>
      <c r="F356" s="20" t="n">
        <v>2.49424</v>
      </c>
      <c r="G356" s="20" t="n">
        <v>2.505594</v>
      </c>
      <c r="H356" s="20" t="n">
        <v>2.510694</v>
      </c>
      <c r="I356" s="20" t="n">
        <v>2.50133</v>
      </c>
      <c r="J356" s="20" t="n">
        <v>2.504842</v>
      </c>
      <c r="K356" s="20" t="n">
        <v>2.6564</v>
      </c>
      <c r="L356" s="20" t="n">
        <v>2.698898</v>
      </c>
      <c r="M356" s="20" t="n">
        <v>2.721672</v>
      </c>
      <c r="N356" s="20" t="n">
        <v>2.546724</v>
      </c>
      <c r="O356" s="20" t="n">
        <v>2.56523</v>
      </c>
      <c r="P356" s="20" t="n">
        <v>2.613322</v>
      </c>
      <c r="Q356" s="20" t="n">
        <v>2.596074</v>
      </c>
      <c r="R356" s="20" t="n">
        <v>2.564292</v>
      </c>
      <c r="S356" s="20" t="n">
        <v>2.56887</v>
      </c>
      <c r="T356" s="23">
        <f>IFERROR(AVERAGE(D356:S356),"")</f>
        <v/>
      </c>
    </row>
    <row r="357">
      <c r="A357" s="22" t="n">
        <v>45887</v>
      </c>
      <c r="B357" s="22" t="n">
        <v>45891</v>
      </c>
      <c r="C357">
        <f>TEXT(A357,"yyyy-mm")</f>
        <v/>
      </c>
      <c r="D357" s="20" t="n">
        <v>2.581456</v>
      </c>
      <c r="E357" s="20" t="n">
        <v>2.614624</v>
      </c>
      <c r="F357" s="20" t="n">
        <v>2.592934</v>
      </c>
      <c r="G357" s="20" t="n">
        <v>2.604624</v>
      </c>
      <c r="H357" s="20" t="n">
        <v>2.60975</v>
      </c>
      <c r="I357" s="20" t="n">
        <v>2.600542</v>
      </c>
      <c r="J357" s="20" t="n">
        <v>2.608352</v>
      </c>
      <c r="K357" s="20" t="n">
        <v>2.756584</v>
      </c>
      <c r="L357" s="20" t="n">
        <v>2.79968</v>
      </c>
      <c r="M357" s="20" t="n">
        <v>2.822662</v>
      </c>
      <c r="N357" s="20" t="n">
        <v>2.64611</v>
      </c>
      <c r="O357" s="20" t="n">
        <v>2.664788</v>
      </c>
      <c r="P357" s="20" t="n">
        <v>2.713318</v>
      </c>
      <c r="Q357" s="20" t="n">
        <v>2.69591</v>
      </c>
      <c r="R357" s="20" t="n">
        <v>2.664084</v>
      </c>
      <c r="S357" s="20" t="n">
        <v>2.67297</v>
      </c>
      <c r="T357" s="23">
        <f>IFERROR(AVERAGE(D357:S357),"")</f>
        <v/>
      </c>
    </row>
    <row r="358">
      <c r="A358" s="22" t="n">
        <v>45894</v>
      </c>
      <c r="B358" s="22" t="n">
        <v>45898</v>
      </c>
      <c r="C358">
        <f>TEXT(A358,"yyyy-mm")</f>
        <v/>
      </c>
      <c r="D358" s="20" t="n">
        <v>2.610046</v>
      </c>
      <c r="E358" s="20" t="n">
        <v>2.646866</v>
      </c>
      <c r="F358" s="20" t="n">
        <v>2.624814</v>
      </c>
      <c r="G358" s="20" t="n">
        <v>2.636866</v>
      </c>
      <c r="H358" s="20" t="n">
        <v>2.64202</v>
      </c>
      <c r="I358" s="20" t="n">
        <v>2.632984</v>
      </c>
      <c r="J358" s="20" t="n">
        <v>2.644162</v>
      </c>
      <c r="K358" s="20" t="n">
        <v>2.787332</v>
      </c>
      <c r="L358" s="20" t="n">
        <v>2.830638</v>
      </c>
      <c r="M358" s="20" t="n">
        <v>2.85346</v>
      </c>
      <c r="N358" s="20" t="n">
        <v>2.678128</v>
      </c>
      <c r="O358" s="20" t="n">
        <v>2.696674</v>
      </c>
      <c r="P358" s="20" t="n">
        <v>2.744872</v>
      </c>
      <c r="Q358" s="20" t="n">
        <v>2.727584</v>
      </c>
      <c r="R358" s="20" t="n">
        <v>2.696084</v>
      </c>
      <c r="S358" s="20" t="n">
        <v>2.708334</v>
      </c>
      <c r="T358" s="23">
        <f>IFERROR(AVERAGE(D358:S358),"")</f>
        <v/>
      </c>
    </row>
    <row r="359">
      <c r="A359" s="22" t="n">
        <v>45901</v>
      </c>
      <c r="B359" s="22" t="n">
        <v>45905</v>
      </c>
      <c r="C359">
        <f>TEXT(A359,"yyyy-mm")</f>
        <v/>
      </c>
      <c r="D359" s="20" t="n">
        <v>2.651128</v>
      </c>
      <c r="E359" s="20" t="n">
        <v>2.68211</v>
      </c>
      <c r="F359" s="20" t="n">
        <v>2.660463</v>
      </c>
      <c r="G359" s="20" t="n">
        <v>2.67211</v>
      </c>
      <c r="H359" s="20" t="n">
        <v>2.67723</v>
      </c>
      <c r="I359" s="20" t="n">
        <v>2.668005</v>
      </c>
      <c r="J359" s="20" t="n">
        <v>2.67411</v>
      </c>
      <c r="K359" s="20" t="n">
        <v>2.823678</v>
      </c>
      <c r="L359" s="20" t="n">
        <v>2.866658</v>
      </c>
      <c r="M359" s="20" t="n">
        <v>2.889585</v>
      </c>
      <c r="N359" s="20" t="n">
        <v>2.713498</v>
      </c>
      <c r="O359" s="20" t="n">
        <v>2.732123</v>
      </c>
      <c r="P359" s="20" t="n">
        <v>2.780528</v>
      </c>
      <c r="Q359" s="20" t="n">
        <v>2.763165</v>
      </c>
      <c r="R359" s="20" t="n">
        <v>2.73138</v>
      </c>
      <c r="S359" s="20" t="n">
        <v>2.738555</v>
      </c>
      <c r="T359" s="23">
        <f>IFERROR(AVERAGE(D359:S359),"")</f>
        <v/>
      </c>
    </row>
    <row r="360">
      <c r="A360" s="22" t="n">
        <v>45908</v>
      </c>
      <c r="B360" s="22" t="n">
        <v>45912</v>
      </c>
      <c r="C360">
        <f>TEXT(A360,"yyyy-mm")</f>
        <v/>
      </c>
      <c r="D360" s="20" t="n">
        <v>2.576036</v>
      </c>
      <c r="E360" s="20" t="n">
        <v>2.606808</v>
      </c>
      <c r="F360" s="20" t="n">
        <v>2.585312</v>
      </c>
      <c r="G360" s="20" t="n">
        <v>2.596808</v>
      </c>
      <c r="H360" s="20" t="n">
        <v>2.601918</v>
      </c>
      <c r="I360" s="20" t="n">
        <v>2.592622</v>
      </c>
      <c r="J360" s="20" t="n">
        <v>2.59831</v>
      </c>
      <c r="K360" s="20" t="n">
        <v>2.747224</v>
      </c>
      <c r="L360" s="20" t="n">
        <v>2.789836</v>
      </c>
      <c r="M360" s="20" t="n">
        <v>2.812574</v>
      </c>
      <c r="N360" s="20" t="n">
        <v>2.637894</v>
      </c>
      <c r="O360" s="20" t="n">
        <v>2.656376</v>
      </c>
      <c r="P360" s="20" t="n">
        <v>2.70439</v>
      </c>
      <c r="Q360" s="20" t="n">
        <v>2.687166</v>
      </c>
      <c r="R360" s="20" t="n">
        <v>2.655488</v>
      </c>
      <c r="S360" s="20" t="n">
        <v>2.66224</v>
      </c>
      <c r="T360" s="23">
        <f>IFERROR(AVERAGE(D360:S360),"")</f>
        <v/>
      </c>
    </row>
    <row r="361">
      <c r="A361" s="22" t="n">
        <v>45915</v>
      </c>
      <c r="B361" s="22" t="n">
        <v>45919</v>
      </c>
      <c r="C361">
        <f>TEXT(A361,"yyyy-mm")</f>
        <v/>
      </c>
      <c r="D361" s="20" t="n">
        <v>2.513342</v>
      </c>
      <c r="E361" s="20" t="n">
        <v>2.5413</v>
      </c>
      <c r="F361" s="20" t="n">
        <v>2.519944</v>
      </c>
      <c r="G361" s="20" t="n">
        <v>2.5313</v>
      </c>
      <c r="H361" s="20" t="n">
        <v>2.5364</v>
      </c>
      <c r="I361" s="20" t="n">
        <v>2.527038</v>
      </c>
      <c r="J361" s="20" t="n">
        <v>2.53036</v>
      </c>
      <c r="K361" s="20" t="n">
        <v>2.679064</v>
      </c>
      <c r="L361" s="20" t="n">
        <v>2.721072</v>
      </c>
      <c r="M361" s="20" t="n">
        <v>2.743418</v>
      </c>
      <c r="N361" s="20" t="n">
        <v>2.571758</v>
      </c>
      <c r="O361" s="20" t="n">
        <v>2.589916</v>
      </c>
      <c r="P361" s="20" t="n">
        <v>2.6371</v>
      </c>
      <c r="Q361" s="20" t="n">
        <v>2.620174</v>
      </c>
      <c r="R361" s="20" t="n">
        <v>2.58882</v>
      </c>
      <c r="S361" s="20" t="n">
        <v>2.593188</v>
      </c>
      <c r="T361" s="23">
        <f>IFERROR(AVERAGE(D361:S361),"")</f>
        <v/>
      </c>
    </row>
    <row r="362">
      <c r="A362" s="22" t="n">
        <v>45922</v>
      </c>
      <c r="B362" s="22" t="n">
        <v>45926</v>
      </c>
      <c r="C362">
        <f>TEXT(A362,"yyyy-mm")</f>
        <v/>
      </c>
      <c r="D362" s="20" t="n">
        <v>2.526468</v>
      </c>
      <c r="E362" s="20" t="n">
        <v>2.557434</v>
      </c>
      <c r="F362" s="20" t="n">
        <v>2.535932</v>
      </c>
      <c r="G362" s="20" t="n">
        <v>2.547434</v>
      </c>
      <c r="H362" s="20" t="n">
        <v>2.552544</v>
      </c>
      <c r="I362" s="20" t="n">
        <v>2.543248</v>
      </c>
      <c r="J362" s="20" t="n">
        <v>2.54908</v>
      </c>
      <c r="K362" s="20" t="n">
        <v>2.695736</v>
      </c>
      <c r="L362" s="20" t="n">
        <v>2.738012</v>
      </c>
      <c r="M362" s="20" t="n">
        <v>2.760452</v>
      </c>
      <c r="N362" s="20" t="n">
        <v>2.58805</v>
      </c>
      <c r="O362" s="20" t="n">
        <v>2.606288</v>
      </c>
      <c r="P362" s="20" t="n">
        <v>2.653676</v>
      </c>
      <c r="Q362" s="20" t="n">
        <v>2.636682</v>
      </c>
      <c r="R362" s="20" t="n">
        <v>2.605296</v>
      </c>
      <c r="S362" s="20" t="n">
        <v>2.61218</v>
      </c>
      <c r="T362" s="23">
        <f>IFERROR(AVERAGE(D362:S362),"")</f>
        <v/>
      </c>
    </row>
    <row r="363">
      <c r="A363" s="22" t="n">
        <v>45929</v>
      </c>
      <c r="B363" s="22" t="n">
        <v>45933</v>
      </c>
      <c r="C363">
        <f>TEXT(A363,"yyyy-mm")</f>
        <v/>
      </c>
      <c r="D363" s="20" t="n">
        <v>2.483314</v>
      </c>
      <c r="E363" s="20" t="n">
        <v>2.516712</v>
      </c>
      <c r="F363" s="20" t="n">
        <v>2.49485</v>
      </c>
      <c r="G363" s="20" t="n">
        <v>2.506712</v>
      </c>
      <c r="H363" s="20" t="n">
        <v>2.511852</v>
      </c>
      <c r="I363" s="20" t="n">
        <v>2.502724</v>
      </c>
      <c r="J363" s="20" t="n">
        <v>2.510994</v>
      </c>
      <c r="K363" s="20" t="n">
        <v>2.654648</v>
      </c>
      <c r="L363" s="20" t="n">
        <v>2.697308</v>
      </c>
      <c r="M363" s="20" t="n">
        <v>2.719752</v>
      </c>
      <c r="N363" s="20" t="n">
        <v>2.547356</v>
      </c>
      <c r="O363" s="20" t="n">
        <v>2.565594</v>
      </c>
      <c r="P363" s="20" t="n">
        <v>2.612978</v>
      </c>
      <c r="Q363" s="20" t="n">
        <v>2.595982</v>
      </c>
      <c r="R363" s="20" t="n">
        <v>2.564768</v>
      </c>
      <c r="S363" s="20" t="n">
        <v>2.574094</v>
      </c>
      <c r="T363" s="23">
        <f>IFERROR(AVERAGE(D363:S363),"")</f>
        <v/>
      </c>
    </row>
    <row r="364">
      <c r="A364" s="22" t="n">
        <v>45936</v>
      </c>
      <c r="B364" s="22" t="n">
        <v>45940</v>
      </c>
      <c r="C364">
        <f>TEXT(A364,"yyyy-mm")</f>
        <v/>
      </c>
      <c r="D364" s="20" t="n">
        <v>2.453962</v>
      </c>
      <c r="E364" s="20" t="n">
        <v>2.48494</v>
      </c>
      <c r="F364" s="20" t="n">
        <v>2.463296</v>
      </c>
      <c r="G364" s="20" t="n">
        <v>2.47494</v>
      </c>
      <c r="H364" s="20" t="n">
        <v>2.480064</v>
      </c>
      <c r="I364" s="20" t="n">
        <v>2.470834</v>
      </c>
      <c r="J364" s="20" t="n">
        <v>2.476924</v>
      </c>
      <c r="K364" s="20" t="n">
        <v>2.62452</v>
      </c>
      <c r="L364" s="20" t="n">
        <v>2.667178</v>
      </c>
      <c r="M364" s="20" t="n">
        <v>2.68982</v>
      </c>
      <c r="N364" s="20" t="n">
        <v>2.515886</v>
      </c>
      <c r="O364" s="20" t="n">
        <v>2.534282</v>
      </c>
      <c r="P364" s="20" t="n">
        <v>2.582096</v>
      </c>
      <c r="Q364" s="20" t="n">
        <v>2.564944</v>
      </c>
      <c r="R364" s="20" t="n">
        <v>2.533432</v>
      </c>
      <c r="S364" s="20" t="n">
        <v>2.540588</v>
      </c>
      <c r="T364" s="23">
        <f>IFERROR(AVERAGE(D364:S364),"")</f>
        <v/>
      </c>
    </row>
    <row r="365">
      <c r="A365" s="22" t="n">
        <v>45943</v>
      </c>
      <c r="B365" s="22" t="n">
        <v>45947</v>
      </c>
      <c r="C365">
        <f>TEXT(A365,"yyyy-mm")</f>
        <v/>
      </c>
      <c r="D365" s="20" t="n">
        <v>2.43426</v>
      </c>
      <c r="E365" s="20" t="n">
        <v>2.46881</v>
      </c>
      <c r="F365" s="20" t="n">
        <v>2.446816</v>
      </c>
      <c r="G365" s="20" t="n">
        <v>2.45881</v>
      </c>
      <c r="H365" s="20" t="n">
        <v>2.46396</v>
      </c>
      <c r="I365" s="20" t="n">
        <v>2.454894</v>
      </c>
      <c r="J365" s="20" t="n">
        <v>2.464274</v>
      </c>
      <c r="K365" s="20" t="n">
        <v>2.610078</v>
      </c>
      <c r="L365" s="20" t="n">
        <v>2.65344</v>
      </c>
      <c r="M365" s="20" t="n">
        <v>2.676368</v>
      </c>
      <c r="N365" s="20" t="n">
        <v>2.500234</v>
      </c>
      <c r="O365" s="20" t="n">
        <v>2.518866</v>
      </c>
      <c r="P365" s="20" t="n">
        <v>2.567282</v>
      </c>
      <c r="Q365" s="20" t="n">
        <v>2.549918</v>
      </c>
      <c r="R365" s="20" t="n">
        <v>2.518286</v>
      </c>
      <c r="S365" s="20" t="n">
        <v>2.528742</v>
      </c>
      <c r="T365" s="23">
        <f>IFERROR(AVERAGE(D365:S365),"")</f>
        <v/>
      </c>
    </row>
    <row r="366">
      <c r="A366" s="22" t="n">
        <v>45950</v>
      </c>
      <c r="B366" s="22" t="n">
        <v>45954</v>
      </c>
      <c r="C366">
        <f>TEXT(A366,"yyyy-mm")</f>
        <v/>
      </c>
      <c r="D366" s="20" t="n">
        <v>2.427954</v>
      </c>
      <c r="E366" s="20" t="n">
        <v>2.458426</v>
      </c>
      <c r="F366" s="20" t="n">
        <v>2.436742</v>
      </c>
      <c r="G366" s="20" t="n">
        <v>2.448426</v>
      </c>
      <c r="H366" s="20" t="n">
        <v>2.45355</v>
      </c>
      <c r="I366" s="20" t="n">
        <v>2.44434</v>
      </c>
      <c r="J366" s="20" t="n">
        <v>2.450118</v>
      </c>
      <c r="K366" s="20" t="n">
        <v>2.59827</v>
      </c>
      <c r="L366" s="20" t="n">
        <v>2.641014</v>
      </c>
      <c r="M366" s="20" t="n">
        <v>2.663702</v>
      </c>
      <c r="N366" s="20" t="n">
        <v>2.489442</v>
      </c>
      <c r="O366" s="20" t="n">
        <v>2.507874</v>
      </c>
      <c r="P366" s="20" t="n">
        <v>2.555776</v>
      </c>
      <c r="Q366" s="20" t="n">
        <v>2.538594</v>
      </c>
      <c r="R366" s="20" t="n">
        <v>2.507056</v>
      </c>
      <c r="S366" s="20" t="n">
        <v>2.513898</v>
      </c>
      <c r="T366" s="23">
        <f>IFERROR(AVERAGE(D366:S366),"")</f>
        <v/>
      </c>
    </row>
    <row r="367">
      <c r="A367" s="22" t="n">
        <v>45957</v>
      </c>
      <c r="B367" s="22" t="n">
        <v>45961</v>
      </c>
      <c r="C367">
        <f>TEXT(A367,"yyyy-mm")</f>
        <v/>
      </c>
      <c r="D367" s="20" t="n">
        <v>2.488966</v>
      </c>
      <c r="E367" s="20" t="n">
        <v>2.518102</v>
      </c>
      <c r="F367" s="20" t="n">
        <v>2.496498</v>
      </c>
      <c r="G367" s="20" t="n">
        <v>2.508102</v>
      </c>
      <c r="H367" s="20" t="n">
        <v>2.513222</v>
      </c>
      <c r="I367" s="20" t="n">
        <v>2.503976</v>
      </c>
      <c r="J367" s="20" t="n">
        <v>2.50861</v>
      </c>
      <c r="K367" s="20" t="n">
        <v>2.657428</v>
      </c>
      <c r="L367" s="20" t="n">
        <v>2.699996</v>
      </c>
      <c r="M367" s="20" t="n">
        <v>2.722596</v>
      </c>
      <c r="N367" s="20" t="n">
        <v>2.548978</v>
      </c>
      <c r="O367" s="20" t="n">
        <v>2.567344</v>
      </c>
      <c r="P367" s="20" t="n">
        <v>2.61507</v>
      </c>
      <c r="Q367" s="20" t="n">
        <v>2.597952</v>
      </c>
      <c r="R367" s="20" t="n">
        <v>2.56646</v>
      </c>
      <c r="S367" s="20" t="n">
        <v>2.572154</v>
      </c>
      <c r="T367" s="23">
        <f>IFERROR(AVERAGE(D367:S367),"")</f>
        <v/>
      </c>
    </row>
    <row r="368">
      <c r="A368" s="22" t="n">
        <v>45964</v>
      </c>
      <c r="B368" s="22" t="n">
        <v>45968</v>
      </c>
      <c r="C368">
        <f>TEXT(A368,"yyyy-mm")</f>
        <v/>
      </c>
      <c r="D368" s="20" t="n">
        <v>2.529388</v>
      </c>
      <c r="E368" s="20" t="n">
        <v>2.557388</v>
      </c>
      <c r="F368" s="20" t="n">
        <v>2.536088</v>
      </c>
      <c r="G368" s="20" t="n">
        <v>2.547388</v>
      </c>
      <c r="H368" s="20" t="n">
        <v>2.552486</v>
      </c>
      <c r="I368" s="20" t="n">
        <v>2.543096</v>
      </c>
      <c r="J368" s="20" t="n">
        <v>2.546342</v>
      </c>
      <c r="K368" s="20" t="n">
        <v>2.69681</v>
      </c>
      <c r="L368" s="20" t="n">
        <v>2.739022</v>
      </c>
      <c r="M368" s="20" t="n">
        <v>2.76159</v>
      </c>
      <c r="N368" s="20" t="n">
        <v>2.588198</v>
      </c>
      <c r="O368" s="20" t="n">
        <v>2.60654</v>
      </c>
      <c r="P368" s="20" t="n">
        <v>2.6542</v>
      </c>
      <c r="Q368" s="20" t="n">
        <v>2.637106</v>
      </c>
      <c r="R368" s="20" t="n">
        <v>2.605502</v>
      </c>
      <c r="S368" s="20" t="n">
        <v>2.609806</v>
      </c>
      <c r="T368" s="23">
        <f>IFERROR(AVERAGE(D368:S368),"")</f>
        <v/>
      </c>
    </row>
    <row r="369">
      <c r="A369" s="22" t="n">
        <v>45971</v>
      </c>
      <c r="B369" s="22" t="n">
        <v>45975</v>
      </c>
      <c r="C369">
        <f>TEXT(A369,"yyyy-mm")</f>
        <v/>
      </c>
      <c r="D369" s="20" t="n">
        <v>2.552538</v>
      </c>
      <c r="E369" s="20" t="n">
        <v>2.58193</v>
      </c>
      <c r="F369" s="20" t="n">
        <v>2.560234</v>
      </c>
      <c r="G369" s="20" t="n">
        <v>2.57193</v>
      </c>
      <c r="H369" s="20" t="n">
        <v>2.577054</v>
      </c>
      <c r="I369" s="20" t="n">
        <v>2.56785</v>
      </c>
      <c r="J369" s="20" t="n">
        <v>2.572834</v>
      </c>
      <c r="K369" s="20" t="n">
        <v>2.71896</v>
      </c>
      <c r="L369" s="20" t="n">
        <v>2.761268</v>
      </c>
      <c r="M369" s="20" t="n">
        <v>2.78356</v>
      </c>
      <c r="N369" s="20" t="n">
        <v>2.612324</v>
      </c>
      <c r="O369" s="20" t="n">
        <v>2.630434</v>
      </c>
      <c r="P369" s="20" t="n">
        <v>2.677506</v>
      </c>
      <c r="Q369" s="20" t="n">
        <v>2.660622</v>
      </c>
      <c r="R369" s="20" t="n">
        <v>2.62948</v>
      </c>
      <c r="S369" s="20" t="n">
        <v>2.635506</v>
      </c>
      <c r="T369" s="23">
        <f>IFERROR(AVERAGE(D369:S369),"")</f>
        <v/>
      </c>
    </row>
    <row r="370">
      <c r="A370" s="22" t="n">
        <v>45978</v>
      </c>
      <c r="B370" s="22" t="n">
        <v>45982</v>
      </c>
      <c r="C370">
        <f>TEXT(A370,"yyyy-mm")</f>
        <v/>
      </c>
      <c r="D370" s="20" t="n">
        <v>2.465182</v>
      </c>
      <c r="E370" s="20" t="n">
        <v>2.495048</v>
      </c>
      <c r="F370" s="20" t="n">
        <v>2.473396</v>
      </c>
      <c r="G370" s="20" t="n">
        <v>2.485048</v>
      </c>
      <c r="H370" s="20" t="n">
        <v>2.490176</v>
      </c>
      <c r="I370" s="20" t="n">
        <v>2.480948</v>
      </c>
      <c r="J370" s="20" t="n">
        <v>2.48623</v>
      </c>
      <c r="K370" s="20" t="n">
        <v>2.633588</v>
      </c>
      <c r="L370" s="20" t="n">
        <v>2.676092</v>
      </c>
      <c r="M370" s="20" t="n">
        <v>2.69859</v>
      </c>
      <c r="N370" s="20" t="n">
        <v>2.525768</v>
      </c>
      <c r="O370" s="20" t="n">
        <v>2.54405</v>
      </c>
      <c r="P370" s="20" t="n">
        <v>2.591554</v>
      </c>
      <c r="Q370" s="20" t="n">
        <v>2.574516</v>
      </c>
      <c r="R370" s="20" t="n">
        <v>2.543148</v>
      </c>
      <c r="S370" s="20" t="n">
        <v>2.54948</v>
      </c>
      <c r="T370" s="23">
        <f>IFERROR(AVERAGE(D370:S370),"")</f>
        <v/>
      </c>
    </row>
    <row r="371">
      <c r="A371" s="22" t="n">
        <v>45985</v>
      </c>
      <c r="B371" s="22" t="n">
        <v>45989</v>
      </c>
      <c r="C371">
        <f>TEXT(A371,"yyyy-mm")</f>
        <v/>
      </c>
      <c r="D371" s="20" t="n">
        <v>2.36455</v>
      </c>
      <c r="E371" s="20" t="n">
        <v>2.39595</v>
      </c>
      <c r="F371" s="20" t="n">
        <v>2.374303</v>
      </c>
      <c r="G371" s="20" t="n">
        <v>2.38595</v>
      </c>
      <c r="H371" s="20" t="n">
        <v>2.391073</v>
      </c>
      <c r="I371" s="20" t="n">
        <v>2.381843</v>
      </c>
      <c r="J371" s="20" t="n">
        <v>2.38825</v>
      </c>
      <c r="K371" s="20" t="n">
        <v>2.535287</v>
      </c>
      <c r="L371" s="20" t="n">
        <v>2.577913</v>
      </c>
      <c r="M371" s="20" t="n">
        <v>2.600523</v>
      </c>
      <c r="N371" s="20" t="n">
        <v>2.426843</v>
      </c>
      <c r="O371" s="20" t="n">
        <v>2.445217</v>
      </c>
      <c r="P371" s="20" t="n">
        <v>2.492957</v>
      </c>
      <c r="Q371" s="20" t="n">
        <v>2.47583</v>
      </c>
      <c r="R371" s="20" t="n">
        <v>2.44435</v>
      </c>
      <c r="S371" s="20" t="n">
        <v>2.451817</v>
      </c>
      <c r="T371" s="23">
        <f>IFERROR(AVERAGE(D371:S371),"")</f>
        <v/>
      </c>
    </row>
    <row r="372">
      <c r="A372" s="22" t="n">
        <v>45992</v>
      </c>
      <c r="B372" s="22" t="n">
        <v>45996</v>
      </c>
      <c r="C372">
        <f>TEXT(A372,"yyyy-mm")</f>
        <v/>
      </c>
      <c r="D372" s="20" t="n">
        <v>2.385138</v>
      </c>
      <c r="E372" s="20" t="n">
        <v>2.415606</v>
      </c>
      <c r="F372" s="20" t="n">
        <v>2.394</v>
      </c>
      <c r="G372" s="20" t="n">
        <v>2.405606</v>
      </c>
      <c r="H372" s="20" t="n">
        <v>2.410728</v>
      </c>
      <c r="I372" s="20" t="n">
        <v>2.401482</v>
      </c>
      <c r="J372" s="20" t="n">
        <v>2.407126</v>
      </c>
      <c r="K372" s="20" t="n">
        <v>2.554524</v>
      </c>
      <c r="L372" s="20" t="n">
        <v>2.597026</v>
      </c>
      <c r="M372" s="20" t="n">
        <v>2.61957</v>
      </c>
      <c r="N372" s="20" t="n">
        <v>2.446394</v>
      </c>
      <c r="O372" s="20" t="n">
        <v>2.464714</v>
      </c>
      <c r="P372" s="20" t="n">
        <v>2.512316</v>
      </c>
      <c r="Q372" s="20" t="n">
        <v>2.495242</v>
      </c>
      <c r="R372" s="20" t="n">
        <v>2.463808</v>
      </c>
      <c r="S372" s="20" t="n">
        <v>2.470508</v>
      </c>
      <c r="T372" s="23">
        <f>IFERROR(AVERAGE(D372:S372),"")</f>
        <v/>
      </c>
    </row>
    <row r="373">
      <c r="A373" s="22" t="n">
        <v>45999</v>
      </c>
      <c r="B373" s="22" t="n">
        <v>46003</v>
      </c>
      <c r="C373">
        <f>TEXT(A373,"yyyy-mm")</f>
        <v/>
      </c>
      <c r="D373" s="20" t="n">
        <v>2.371486</v>
      </c>
      <c r="E373" s="20" t="n">
        <v>2.400776</v>
      </c>
      <c r="F373" s="20" t="n">
        <v>2.379218</v>
      </c>
      <c r="G373" s="20" t="n">
        <v>2.390776</v>
      </c>
      <c r="H373" s="20" t="n">
        <v>2.395892</v>
      </c>
      <c r="I373" s="20" t="n">
        <v>2.386624</v>
      </c>
      <c r="J373" s="20" t="n">
        <v>2.391304</v>
      </c>
      <c r="K373" s="20" t="n">
        <v>2.542094</v>
      </c>
      <c r="L373" s="20" t="n">
        <v>2.584924</v>
      </c>
      <c r="M373" s="20" t="n">
        <v>2.607796</v>
      </c>
      <c r="N373" s="20" t="n">
        <v>2.43208</v>
      </c>
      <c r="O373" s="20" t="n">
        <v>2.450668</v>
      </c>
      <c r="P373" s="20" t="n">
        <v>2.49897</v>
      </c>
      <c r="Q373" s="20" t="n">
        <v>2.481646</v>
      </c>
      <c r="R373" s="20" t="n">
        <v>2.449862</v>
      </c>
      <c r="S373" s="20" t="n">
        <v>2.455616</v>
      </c>
      <c r="T373" s="23">
        <f>IFERROR(AVERAGE(D373:S373),"")</f>
        <v/>
      </c>
    </row>
    <row r="374">
      <c r="A374" s="22" t="n">
        <v>46006</v>
      </c>
      <c r="B374" s="22" t="n">
        <v>46010</v>
      </c>
      <c r="C374">
        <f>TEXT(A374,"yyyy-mm")</f>
        <v/>
      </c>
      <c r="D374" s="20" t="n">
        <v>2.247898</v>
      </c>
      <c r="E374" s="20" t="n">
        <v>2.277122</v>
      </c>
      <c r="F374" s="20" t="n">
        <v>2.255602</v>
      </c>
      <c r="G374" s="20" t="n">
        <v>2.267122</v>
      </c>
      <c r="H374" s="20" t="n">
        <v>2.272242</v>
      </c>
      <c r="I374" s="20" t="n">
        <v>2.262956</v>
      </c>
      <c r="J374" s="20" t="n">
        <v>2.267532</v>
      </c>
      <c r="K374" s="20" t="n">
        <v>2.42027</v>
      </c>
      <c r="L374" s="20" t="n">
        <v>2.46335</v>
      </c>
      <c r="M374" s="20" t="n">
        <v>2.486478</v>
      </c>
      <c r="N374" s="20" t="n">
        <v>2.308828</v>
      </c>
      <c r="O374" s="20" t="n">
        <v>2.327622</v>
      </c>
      <c r="P374" s="20" t="n">
        <v>2.37645</v>
      </c>
      <c r="Q374" s="20" t="n">
        <v>2.358936</v>
      </c>
      <c r="R374" s="20" t="n">
        <v>2.326892</v>
      </c>
      <c r="S374" s="20" t="n">
        <v>2.332552</v>
      </c>
      <c r="T374" s="23">
        <f>IFERROR(AVERAGE(D374:S374),"")</f>
        <v/>
      </c>
    </row>
    <row r="375">
      <c r="A375" s="22" t="n">
        <v>46013</v>
      </c>
      <c r="B375" s="22" t="n">
        <v>46017</v>
      </c>
      <c r="C375">
        <f>TEXT(A375,"yyyy-mm")</f>
        <v/>
      </c>
      <c r="D375" s="20" t="n">
        <v>2.272787</v>
      </c>
      <c r="E375" s="20" t="n">
        <v>2.30175</v>
      </c>
      <c r="F375" s="20" t="n">
        <v>2.280373</v>
      </c>
      <c r="G375" s="20" t="n">
        <v>2.29175</v>
      </c>
      <c r="H375" s="20" t="n">
        <v>2.296853</v>
      </c>
      <c r="I375" s="20" t="n">
        <v>2.2875</v>
      </c>
      <c r="J375" s="20" t="n">
        <v>2.291593</v>
      </c>
      <c r="K375" s="20" t="n">
        <v>2.44668</v>
      </c>
      <c r="L375" s="20" t="n">
        <v>2.489863</v>
      </c>
      <c r="M375" s="20" t="n">
        <v>2.51322</v>
      </c>
      <c r="N375" s="20" t="n">
        <v>2.333803</v>
      </c>
      <c r="O375" s="20" t="n">
        <v>2.352787</v>
      </c>
      <c r="P375" s="20" t="n">
        <v>2.4021</v>
      </c>
      <c r="Q375" s="20" t="n">
        <v>2.384413</v>
      </c>
      <c r="R375" s="20" t="n">
        <v>2.35207</v>
      </c>
      <c r="S375" s="20" t="n">
        <v>2.35726</v>
      </c>
      <c r="T375" s="23">
        <f>IFERROR(AVERAGE(D375:S375),"")</f>
        <v/>
      </c>
    </row>
    <row r="376">
      <c r="A376" s="22" t="n">
        <v>46020</v>
      </c>
      <c r="B376" s="22" t="n">
        <v>46024</v>
      </c>
      <c r="C376">
        <f>TEXT(A376,"yyyy-mm")</f>
        <v/>
      </c>
      <c r="D376" s="20" t="n">
        <v>2.245335</v>
      </c>
      <c r="E376" s="20" t="n">
        <v>2.273708</v>
      </c>
      <c r="F376" s="20" t="n">
        <v>2.252363</v>
      </c>
      <c r="G376" s="20" t="n">
        <v>2.263708</v>
      </c>
      <c r="H376" s="20" t="n">
        <v>2.268808</v>
      </c>
      <c r="I376" s="20" t="n">
        <v>2.25944</v>
      </c>
      <c r="J376" s="20" t="n">
        <v>2.263055</v>
      </c>
      <c r="K376" s="20" t="n">
        <v>2.417328</v>
      </c>
      <c r="L376" s="20" t="n">
        <v>2.460273</v>
      </c>
      <c r="M376" s="20" t="n">
        <v>2.483438</v>
      </c>
      <c r="N376" s="20" t="n">
        <v>2.305463</v>
      </c>
      <c r="O376" s="20" t="n">
        <v>2.32429</v>
      </c>
      <c r="P376" s="20" t="n">
        <v>2.373215</v>
      </c>
      <c r="Q376" s="20" t="n">
        <v>2.355663</v>
      </c>
      <c r="R376" s="20" t="n">
        <v>2.323493</v>
      </c>
      <c r="S376" s="20" t="n">
        <v>2.328198</v>
      </c>
      <c r="T376" s="23">
        <f>IFERROR(AVERAGE(D376:S376),"")</f>
        <v/>
      </c>
    </row>
    <row r="377">
      <c r="A377" s="22" t="n">
        <v>46027</v>
      </c>
      <c r="B377" s="22" t="n">
        <v>46031</v>
      </c>
      <c r="C377">
        <f>TEXT(A377,"yyyy-mm")</f>
        <v/>
      </c>
      <c r="D377" s="20" t="n">
        <v>2.184052</v>
      </c>
      <c r="E377" s="20" t="n">
        <v>2.214628</v>
      </c>
      <c r="F377" s="20" t="n">
        <v>2.19307</v>
      </c>
      <c r="G377" s="20" t="n">
        <v>2.204628</v>
      </c>
      <c r="H377" s="20" t="n">
        <v>2.209742</v>
      </c>
      <c r="I377" s="20" t="n">
        <v>2.20047</v>
      </c>
      <c r="J377" s="20" t="n">
        <v>2.206106</v>
      </c>
      <c r="K377" s="20" t="n">
        <v>2.354544</v>
      </c>
      <c r="L377" s="20" t="n">
        <v>2.397148</v>
      </c>
      <c r="M377" s="20" t="n">
        <v>2.419824</v>
      </c>
      <c r="N377" s="20" t="n">
        <v>2.245618</v>
      </c>
      <c r="O377" s="20" t="n">
        <v>2.264048</v>
      </c>
      <c r="P377" s="20" t="n">
        <v>2.311934</v>
      </c>
      <c r="Q377" s="20" t="n">
        <v>2.294758</v>
      </c>
      <c r="R377" s="20" t="n">
        <v>2.263168</v>
      </c>
      <c r="S377" s="20" t="n">
        <v>2.269862</v>
      </c>
      <c r="T377" s="23">
        <f>IFERROR(AVERAGE(D377:S377),"")</f>
        <v/>
      </c>
    </row>
    <row r="378">
      <c r="A378" s="22" t="n">
        <v>46034</v>
      </c>
      <c r="B378" s="22" t="n">
        <v>46038</v>
      </c>
      <c r="C378">
        <f>TEXT(A378,"yyyy-mm")</f>
        <v/>
      </c>
      <c r="D378" s="20" t="n">
        <v>2.345044</v>
      </c>
      <c r="E378" s="20" t="n">
        <v>2.375264</v>
      </c>
      <c r="F378" s="20" t="n">
        <v>2.353652</v>
      </c>
      <c r="G378" s="20" t="n">
        <v>2.365264</v>
      </c>
      <c r="H378" s="20" t="n">
        <v>2.370384</v>
      </c>
      <c r="I378" s="20" t="n">
        <v>2.361142</v>
      </c>
      <c r="J378" s="20" t="n">
        <v>2.366616</v>
      </c>
      <c r="K378" s="20" t="n">
        <v>2.514838</v>
      </c>
      <c r="L378" s="20" t="n">
        <v>2.557454</v>
      </c>
      <c r="M378" s="20" t="n">
        <v>2.580092</v>
      </c>
      <c r="N378" s="20" t="n">
        <v>2.4062</v>
      </c>
      <c r="O378" s="20" t="n">
        <v>2.424594</v>
      </c>
      <c r="P378" s="20" t="n">
        <v>2.472394</v>
      </c>
      <c r="Q378" s="20" t="n">
        <v>2.45525</v>
      </c>
      <c r="R378" s="20" t="n">
        <v>2.423726</v>
      </c>
      <c r="S378" s="20" t="n">
        <v>2.430258</v>
      </c>
      <c r="T378" s="23">
        <f>IFERROR(AVERAGE(D378:S378),"")</f>
        <v/>
      </c>
    </row>
    <row r="379">
      <c r="A379" s="22" t="n">
        <v>46041</v>
      </c>
      <c r="B379" s="22" t="n">
        <v>46045</v>
      </c>
      <c r="C379">
        <f>TEXT(A379,"yyyy-mm")</f>
        <v/>
      </c>
      <c r="D379" s="20" t="n">
        <v>2.343033</v>
      </c>
      <c r="E379" s="20" t="n">
        <v>2.372143</v>
      </c>
      <c r="F379" s="20" t="n">
        <v>2.350753</v>
      </c>
      <c r="G379" s="20" t="n">
        <v>2.362143</v>
      </c>
      <c r="H379" s="20" t="n">
        <v>2.367245</v>
      </c>
      <c r="I379" s="20" t="n">
        <v>2.357898</v>
      </c>
      <c r="J379" s="20" t="n">
        <v>2.362143</v>
      </c>
      <c r="K379" s="20" t="n">
        <v>2.51018</v>
      </c>
      <c r="L379" s="20" t="n">
        <v>2.552278</v>
      </c>
      <c r="M379" s="20" t="n">
        <v>2.574668</v>
      </c>
      <c r="N379" s="20" t="n">
        <v>2.402668</v>
      </c>
      <c r="O379" s="20" t="n">
        <v>2.420865</v>
      </c>
      <c r="P379" s="20" t="n">
        <v>2.46814</v>
      </c>
      <c r="Q379" s="20" t="n">
        <v>2.451185</v>
      </c>
      <c r="R379" s="20" t="n">
        <v>2.4198</v>
      </c>
      <c r="S379" s="20" t="n">
        <v>2.425093</v>
      </c>
      <c r="T379" s="23">
        <f>IFERROR(AVERAGE(D379:S379),"")</f>
        <v/>
      </c>
    </row>
    <row r="380">
      <c r="A380" s="22" t="n">
        <v>46048</v>
      </c>
      <c r="B380" s="22" t="n">
        <v>46052</v>
      </c>
      <c r="C380">
        <f>TEXT(A380,"yyyy-mm")</f>
        <v/>
      </c>
      <c r="D380" s="20" t="n">
        <v>2.330612</v>
      </c>
      <c r="E380" s="20" t="n">
        <v>2.361454</v>
      </c>
      <c r="F380" s="20" t="n">
        <v>2.339854</v>
      </c>
      <c r="G380" s="20" t="n">
        <v>2.351454</v>
      </c>
      <c r="H380" s="20" t="n">
        <v>2.356572</v>
      </c>
      <c r="I380" s="20" t="n">
        <v>2.34732</v>
      </c>
      <c r="J380" s="20" t="n">
        <v>2.353226</v>
      </c>
      <c r="K380" s="20" t="n">
        <v>2.496606</v>
      </c>
      <c r="L380" s="20" t="n">
        <v>2.538496</v>
      </c>
      <c r="M380" s="20" t="n">
        <v>2.560514</v>
      </c>
      <c r="N380" s="20" t="n">
        <v>2.391402</v>
      </c>
      <c r="O380" s="20" t="n">
        <v>2.40929</v>
      </c>
      <c r="P380" s="20" t="n">
        <v>2.455776</v>
      </c>
      <c r="Q380" s="20" t="n">
        <v>2.439102</v>
      </c>
      <c r="R380" s="20" t="n">
        <v>2.408184</v>
      </c>
      <c r="S380" s="20" t="n">
        <v>2.415122</v>
      </c>
      <c r="T380" s="23">
        <f>IFERROR(AVERAGE(D380:S380),"")</f>
        <v/>
      </c>
    </row>
    <row r="381">
      <c r="A381" s="22" t="n">
        <v>46055</v>
      </c>
      <c r="B381" s="22" t="n">
        <v>46059</v>
      </c>
      <c r="C381">
        <f>TEXT(A381,"yyyy-mm")</f>
        <v/>
      </c>
      <c r="D381" s="20" t="n">
        <v>2.431198</v>
      </c>
      <c r="E381" s="20" t="n">
        <v>2.468636</v>
      </c>
      <c r="F381" s="20" t="n">
        <v>2.44643</v>
      </c>
      <c r="G381" s="20" t="n">
        <v>2.458636</v>
      </c>
      <c r="H381" s="20" t="n">
        <v>2.463802</v>
      </c>
      <c r="I381" s="20" t="n">
        <v>2.454836</v>
      </c>
      <c r="J381" s="20" t="n">
        <v>2.46675</v>
      </c>
      <c r="K381" s="20" t="n">
        <v>2.603748</v>
      </c>
      <c r="L381" s="20" t="n">
        <v>2.646384</v>
      </c>
      <c r="M381" s="20" t="n">
        <v>2.668476</v>
      </c>
      <c r="N381" s="20" t="n">
        <v>2.498756</v>
      </c>
      <c r="O381" s="20" t="n">
        <v>2.51671</v>
      </c>
      <c r="P381" s="20" t="n">
        <v>2.563364</v>
      </c>
      <c r="Q381" s="20" t="n">
        <v>2.546628</v>
      </c>
      <c r="R381" s="20" t="n">
        <v>2.51592</v>
      </c>
      <c r="S381" s="20" t="n">
        <v>2.528866</v>
      </c>
      <c r="T381" s="23">
        <f>IFERROR(AVERAGE(D381:S381),"")</f>
        <v/>
      </c>
    </row>
    <row r="382">
      <c r="A382" s="22" t="n">
        <v>46062</v>
      </c>
      <c r="B382" s="22" t="n">
        <v>46066</v>
      </c>
      <c r="C382">
        <f>TEXT(A382,"yyyy-mm")</f>
        <v/>
      </c>
      <c r="D382" s="20" t="n">
        <v>2.441384</v>
      </c>
      <c r="E382" s="20" t="n">
        <v>2.477166</v>
      </c>
      <c r="F382" s="20" t="n">
        <v>2.455122</v>
      </c>
      <c r="G382" s="20" t="n">
        <v>2.467166</v>
      </c>
      <c r="H382" s="20" t="n">
        <v>2.472316</v>
      </c>
      <c r="I382" s="20" t="n">
        <v>2.463272</v>
      </c>
      <c r="J382" s="20" t="n">
        <v>2.473652</v>
      </c>
      <c r="K382" s="20" t="n">
        <v>2.611142</v>
      </c>
      <c r="L382" s="20" t="n">
        <v>2.653388</v>
      </c>
      <c r="M382" s="20" t="n">
        <v>2.6753</v>
      </c>
      <c r="N382" s="20" t="n">
        <v>2.506984</v>
      </c>
      <c r="O382" s="20" t="n">
        <v>2.524788</v>
      </c>
      <c r="P382" s="20" t="n">
        <v>2.571056</v>
      </c>
      <c r="Q382" s="20" t="n">
        <v>2.55446</v>
      </c>
      <c r="R382" s="20" t="n">
        <v>2.523852</v>
      </c>
      <c r="S382" s="20" t="n">
        <v>2.535258</v>
      </c>
      <c r="T382" s="23">
        <f>IFERROR(AVERAGE(D382:S382),"")</f>
        <v/>
      </c>
    </row>
    <row r="383">
      <c r="A383" s="22" t="n">
        <v>46069</v>
      </c>
      <c r="B383" s="22" t="n">
        <v>46073</v>
      </c>
      <c r="C383">
        <f>TEXT(A383,"yyyy-mm")</f>
        <v/>
      </c>
      <c r="D383" s="20" t="n">
        <v>2.429795</v>
      </c>
      <c r="E383" s="20" t="n">
        <v>2.463603</v>
      </c>
      <c r="F383" s="20" t="n">
        <v>2.44166</v>
      </c>
      <c r="G383" s="20" t="n">
        <v>2.453603</v>
      </c>
      <c r="H383" s="20" t="n">
        <v>2.458745</v>
      </c>
      <c r="I383" s="20" t="n">
        <v>2.449655</v>
      </c>
      <c r="J383" s="20" t="n">
        <v>2.458378</v>
      </c>
      <c r="K383" s="20" t="n">
        <v>2.598115</v>
      </c>
      <c r="L383" s="20" t="n">
        <v>2.640325</v>
      </c>
      <c r="M383" s="20" t="n">
        <v>2.662295</v>
      </c>
      <c r="N383" s="20" t="n">
        <v>2.493508</v>
      </c>
      <c r="O383" s="20" t="n">
        <v>2.511363</v>
      </c>
      <c r="P383" s="20" t="n">
        <v>2.55776</v>
      </c>
      <c r="Q383" s="20" t="n">
        <v>2.541118</v>
      </c>
      <c r="R383" s="20" t="n">
        <v>2.5104</v>
      </c>
      <c r="S383" s="20" t="n">
        <v>2.520153</v>
      </c>
      <c r="T383" s="23">
        <f>IFERROR(AVERAGE(D383:S383),"")</f>
        <v/>
      </c>
    </row>
    <row r="384">
      <c r="A384" s="22" t="n">
        <v>46076</v>
      </c>
      <c r="B384" s="22" t="n">
        <v>46080</v>
      </c>
      <c r="C384">
        <f>TEXT(A384,"yyyy-mm")</f>
        <v/>
      </c>
      <c r="D384" s="20" t="n">
        <v>2.474056</v>
      </c>
      <c r="E384" s="20" t="n">
        <v>2.508658</v>
      </c>
      <c r="F384" s="20" t="n">
        <v>2.486578</v>
      </c>
      <c r="G384" s="20" t="n">
        <v>2.498658</v>
      </c>
      <c r="H384" s="20" t="n">
        <v>2.503812</v>
      </c>
      <c r="I384" s="20" t="n">
        <v>2.49479</v>
      </c>
      <c r="J384" s="20" t="n">
        <v>2.50436</v>
      </c>
      <c r="K384" s="20" t="n">
        <v>2.640856</v>
      </c>
      <c r="L384" s="20" t="n">
        <v>2.682864</v>
      </c>
      <c r="M384" s="20" t="n">
        <v>2.704532</v>
      </c>
      <c r="N384" s="20" t="n">
        <v>2.538092</v>
      </c>
      <c r="O384" s="20" t="n">
        <v>2.555698</v>
      </c>
      <c r="P384" s="20" t="n">
        <v>2.60145</v>
      </c>
      <c r="Q384" s="20" t="n">
        <v>2.58504</v>
      </c>
      <c r="R384" s="20" t="n">
        <v>2.554692</v>
      </c>
      <c r="S384" s="20" t="n">
        <v>2.56528</v>
      </c>
      <c r="T384" s="23">
        <f>IFERROR(AVERAGE(D384:S384),"")</f>
        <v/>
      </c>
    </row>
    <row r="385">
      <c r="A385" s="22" t="n">
        <v>46083</v>
      </c>
      <c r="B385" s="22" t="n">
        <v>46087</v>
      </c>
      <c r="C385">
        <f>TEXT(A385,"yyyy-mm")</f>
        <v/>
      </c>
      <c r="D385" s="20" t="n">
        <v>2.866142</v>
      </c>
      <c r="E385" s="20" t="n">
        <v>2.916424</v>
      </c>
      <c r="F385" s="20" t="n">
        <v>2.893384</v>
      </c>
      <c r="G385" s="20" t="n">
        <v>2.906424</v>
      </c>
      <c r="H385" s="20" t="n">
        <v>2.91165</v>
      </c>
      <c r="I385" s="20" t="n">
        <v>2.903078</v>
      </c>
      <c r="J385" s="20" t="n">
        <v>2.926076</v>
      </c>
      <c r="K385" s="20" t="n">
        <v>3.050422</v>
      </c>
      <c r="L385" s="20" t="n">
        <v>3.09391</v>
      </c>
      <c r="M385" s="20" t="n">
        <v>3.115966</v>
      </c>
      <c r="N385" s="20" t="n">
        <v>2.946544</v>
      </c>
      <c r="O385" s="20" t="n">
        <v>2.964466</v>
      </c>
      <c r="P385" s="20" t="n">
        <v>3.011038</v>
      </c>
      <c r="Q385" s="20" t="n">
        <v>2.994332</v>
      </c>
      <c r="R385" s="20" t="n">
        <v>2.96405</v>
      </c>
      <c r="S385" s="20" t="n">
        <v>2.988084</v>
      </c>
      <c r="T385" s="23">
        <f>IFERROR(AVERAGE(D385:S385),"")</f>
        <v/>
      </c>
    </row>
    <row r="386">
      <c r="A386" s="22" t="n">
        <v>46090</v>
      </c>
      <c r="B386" s="22" t="n">
        <v>46094</v>
      </c>
      <c r="C386">
        <f>TEXT(A386,"yyyy-mm")</f>
        <v/>
      </c>
      <c r="D386" s="20" t="n">
        <v>3.360018</v>
      </c>
      <c r="E386" s="20" t="n">
        <v>3.409684</v>
      </c>
      <c r="F386" s="20" t="n">
        <v>3.38638</v>
      </c>
      <c r="G386" s="20" t="n">
        <v>3.399684</v>
      </c>
      <c r="H386" s="20" t="n">
        <v>3.404934</v>
      </c>
      <c r="I386" s="20" t="n">
        <v>3.396482</v>
      </c>
      <c r="J386" s="20" t="n">
        <v>3.41948</v>
      </c>
      <c r="K386" s="20" t="n">
        <v>3.543088</v>
      </c>
      <c r="L386" s="20" t="n">
        <v>3.58681</v>
      </c>
      <c r="M386" s="20" t="n">
        <v>3.608818</v>
      </c>
      <c r="N386" s="20" t="n">
        <v>3.439752</v>
      </c>
      <c r="O386" s="20" t="n">
        <v>3.457636</v>
      </c>
      <c r="P386" s="20" t="n">
        <v>3.504108</v>
      </c>
      <c r="Q386" s="20" t="n">
        <v>3.487442</v>
      </c>
      <c r="R386" s="20" t="n">
        <v>3.45733</v>
      </c>
      <c r="S386" s="20" t="n">
        <v>3.481358</v>
      </c>
      <c r="T386" s="23">
        <f>IFERROR(AVERAGE(D386:S386),"")</f>
        <v/>
      </c>
    </row>
    <row r="387">
      <c r="A387" s="22" t="n">
        <v>46097</v>
      </c>
      <c r="B387" s="22" t="n">
        <v>46101</v>
      </c>
      <c r="C387">
        <f>TEXT(A387,"yyyy-mm")</f>
        <v/>
      </c>
      <c r="D387" s="20" t="n">
        <v>3.814312</v>
      </c>
      <c r="E387" s="20" t="n">
        <v>3.870522</v>
      </c>
      <c r="F387" s="20" t="n">
        <v>3.846882</v>
      </c>
      <c r="G387" s="20" t="n">
        <v>3.860522</v>
      </c>
      <c r="H387" s="20" t="n">
        <v>3.865796</v>
      </c>
      <c r="I387" s="20" t="n">
        <v>3.857506</v>
      </c>
      <c r="J387" s="20" t="n">
        <v>3.885992</v>
      </c>
      <c r="K387" s="20" t="n">
        <v>4.003944</v>
      </c>
      <c r="L387" s="20" t="n">
        <v>4.04808</v>
      </c>
      <c r="M387" s="20" t="n">
        <v>4.070138</v>
      </c>
      <c r="N387" s="20" t="n">
        <v>3.900692</v>
      </c>
      <c r="O387" s="20" t="n">
        <v>3.91862</v>
      </c>
      <c r="P387" s="20" t="n">
        <v>3.965196</v>
      </c>
      <c r="Q387" s="20" t="n">
        <v>3.948488</v>
      </c>
      <c r="R387" s="20" t="n">
        <v>3.918488</v>
      </c>
      <c r="S387" s="20" t="n">
        <v>3.94801</v>
      </c>
      <c r="T387" s="23">
        <f>IFERROR(AVERAGE(D387:S387),"")</f>
        <v/>
      </c>
    </row>
    <row r="388">
      <c r="A388" s="22" t="n">
        <v>46104</v>
      </c>
      <c r="B388" s="22" t="n">
        <v>46108</v>
      </c>
      <c r="C388">
        <f>TEXT(A388,"yyyy-mm")</f>
        <v/>
      </c>
      <c r="D388" s="20" t="n">
        <v>3.888012</v>
      </c>
      <c r="E388" s="20" t="n">
        <v>3.945112</v>
      </c>
      <c r="F388" s="20" t="n">
        <v>3.920886</v>
      </c>
      <c r="G388" s="20" t="n">
        <v>3.935112</v>
      </c>
      <c r="H388" s="20" t="n">
        <v>3.940432</v>
      </c>
      <c r="I388" s="20" t="n">
        <v>3.932414</v>
      </c>
      <c r="J388" s="20" t="n">
        <v>3.962582</v>
      </c>
      <c r="K388" s="20" t="n">
        <v>4.078346</v>
      </c>
      <c r="L388" s="20" t="n">
        <v>4.123178</v>
      </c>
      <c r="M388" s="20" t="n">
        <v>4.14529</v>
      </c>
      <c r="N388" s="20" t="n">
        <v>3.975418</v>
      </c>
      <c r="O388" s="20" t="n">
        <v>3.993386</v>
      </c>
      <c r="P388" s="20" t="n">
        <v>4.040082</v>
      </c>
      <c r="Q388" s="20" t="n">
        <v>4.023332</v>
      </c>
      <c r="R388" s="20" t="n">
        <v>3.99355</v>
      </c>
      <c r="S388" s="20" t="n">
        <v>4.024757999999999</v>
      </c>
      <c r="T388" s="23">
        <f>IFERROR(AVERAGE(D388:S388),"")</f>
        <v/>
      </c>
    </row>
    <row r="389">
      <c r="A389" s="22" t="n">
        <v>46111</v>
      </c>
      <c r="B389" s="22" t="n">
        <v>46115</v>
      </c>
      <c r="C389">
        <f>TEXT(A389,"yyyy-mm")</f>
        <v/>
      </c>
      <c r="D389" s="20" t="n">
        <v>4.067152999999999</v>
      </c>
      <c r="E389" s="20" t="n">
        <v>4.118218</v>
      </c>
      <c r="F389" s="20" t="n">
        <v>4.094445</v>
      </c>
      <c r="G389" s="20" t="n">
        <v>4.108218</v>
      </c>
      <c r="H389" s="20" t="n">
        <v>4.1135</v>
      </c>
      <c r="I389" s="20" t="n">
        <v>4.105270000000001</v>
      </c>
      <c r="J389" s="20" t="n">
        <v>4.13012</v>
      </c>
      <c r="K389" s="20" t="n">
        <v>4.250218</v>
      </c>
      <c r="L389" s="20" t="n">
        <v>4.294298</v>
      </c>
      <c r="M389" s="20" t="n">
        <v>4.316173</v>
      </c>
      <c r="N389" s="20" t="n">
        <v>4.148115</v>
      </c>
      <c r="O389" s="20" t="n">
        <v>4.165893</v>
      </c>
      <c r="P389" s="20" t="n">
        <v>4.212085</v>
      </c>
      <c r="Q389" s="20" t="n">
        <v>4.195518</v>
      </c>
      <c r="R389" s="20" t="n">
        <v>4.165755</v>
      </c>
      <c r="S389" s="20" t="n">
        <v>4.191632999999999</v>
      </c>
      <c r="T389" s="23">
        <f>IFERROR(AVERAGE(D389:S389),"")</f>
        <v/>
      </c>
    </row>
    <row r="390">
      <c r="A390" s="22" t="n">
        <v>46118</v>
      </c>
      <c r="B390" s="22" t="n">
        <v>46122</v>
      </c>
      <c r="C390">
        <f>TEXT(A390,"yyyy-mm")</f>
        <v/>
      </c>
      <c r="D390" s="20" t="n">
        <v>4.029724</v>
      </c>
      <c r="E390" s="20" t="n">
        <v>4.037964</v>
      </c>
      <c r="F390" s="20" t="n">
        <v>4.013546</v>
      </c>
      <c r="G390" s="20" t="n">
        <v>4.027964</v>
      </c>
      <c r="H390" s="20" t="n">
        <v>4.033296</v>
      </c>
      <c r="I390" s="20" t="n">
        <v>4.02537</v>
      </c>
      <c r="J390" s="20" t="n">
        <v>4.058356</v>
      </c>
      <c r="K390" s="20" t="n">
        <v>4.16668</v>
      </c>
      <c r="L390" s="20" t="n">
        <v>4.211024</v>
      </c>
      <c r="M390" s="20" t="n">
        <v>4.23253</v>
      </c>
      <c r="N390" s="20" t="n">
        <v>4.067318</v>
      </c>
      <c r="O390" s="20" t="n">
        <v>4.084798</v>
      </c>
      <c r="P390" s="20" t="n">
        <v>4.13021</v>
      </c>
      <c r="Q390" s="20" t="n">
        <v>4.113922</v>
      </c>
      <c r="R390" s="20" t="n">
        <v>4.084824</v>
      </c>
      <c r="S390" s="20" t="n">
        <v>4.118822</v>
      </c>
      <c r="T390" s="23">
        <f>IFERROR(AVERAGE(D390:S390),"")</f>
        <v/>
      </c>
    </row>
    <row r="391">
      <c r="A391" s="22" t="n">
        <v>46125</v>
      </c>
      <c r="B391" s="22" t="n">
        <v>46129</v>
      </c>
      <c r="C391">
        <f>TEXT(A391,"yyyy-mm")</f>
        <v/>
      </c>
      <c r="D391" s="20" t="n">
        <v>3.987422</v>
      </c>
      <c r="E391" s="20" t="n">
        <v>3.961718</v>
      </c>
      <c r="F391" s="20" t="n">
        <v>3.93725</v>
      </c>
      <c r="G391" s="20" t="n">
        <v>3.951718</v>
      </c>
      <c r="H391" s="20" t="n">
        <v>3.957052</v>
      </c>
      <c r="I391" s="20" t="n">
        <v>3.949146</v>
      </c>
      <c r="J391" s="20" t="n">
        <v>3.985954</v>
      </c>
      <c r="K391" s="20" t="n">
        <v>4.087102</v>
      </c>
      <c r="L391" s="20" t="n">
        <v>4.130968</v>
      </c>
      <c r="M391" s="20" t="n">
        <v>4.152012</v>
      </c>
      <c r="N391" s="20" t="n">
        <v>3.990348</v>
      </c>
      <c r="O391" s="20" t="n">
        <v>4.00745</v>
      </c>
      <c r="P391" s="20" t="n">
        <v>4.051886</v>
      </c>
      <c r="Q391" s="20" t="n">
        <v>4.03595</v>
      </c>
      <c r="R391" s="20" t="n">
        <v>4.007332</v>
      </c>
      <c r="S391" s="20" t="n">
        <v>4.045122</v>
      </c>
      <c r="T391" s="23">
        <f>IFERROR(AVERAGE(D391:S391),"")</f>
        <v/>
      </c>
    </row>
    <row r="392">
      <c r="A392" s="22" t="n">
        <v>46132</v>
      </c>
      <c r="B392" s="22" t="n">
        <v>46136</v>
      </c>
      <c r="C392">
        <f>TEXT(A392,"yyyy-mm")</f>
        <v/>
      </c>
      <c r="D392" s="20" t="n">
        <v>4.001214</v>
      </c>
      <c r="E392" s="20" t="n">
        <v>3.988858</v>
      </c>
      <c r="F392" s="20" t="n">
        <v>3.965276</v>
      </c>
      <c r="G392" s="20" t="n">
        <v>3.978858</v>
      </c>
      <c r="H392" s="20" t="n">
        <v>3.984126</v>
      </c>
      <c r="I392" s="20" t="n">
        <v>3.975806</v>
      </c>
      <c r="J392" s="20" t="n">
        <v>3.997882</v>
      </c>
      <c r="K392" s="20" t="n">
        <v>4.11492</v>
      </c>
      <c r="L392" s="20" t="n">
        <v>4.157801999999999</v>
      </c>
      <c r="M392" s="20" t="n">
        <v>4.17882</v>
      </c>
      <c r="N392" s="20" t="n">
        <v>4.017374</v>
      </c>
      <c r="O392" s="20" t="n">
        <v>4.034454</v>
      </c>
      <c r="P392" s="20" t="n">
        <v>4.078832</v>
      </c>
      <c r="Q392" s="20" t="n">
        <v>4.062912</v>
      </c>
      <c r="R392" s="20" t="n">
        <v>4.03391</v>
      </c>
      <c r="S392" s="20" t="n">
        <v>4.056972</v>
      </c>
      <c r="T392" s="23">
        <f>IFERROR(AVERAGE(D392:S392),"")</f>
        <v/>
      </c>
    </row>
    <row r="393">
      <c r="A393" s="22" t="n">
        <v>46139</v>
      </c>
      <c r="B393" s="22" t="n">
        <v>46143</v>
      </c>
      <c r="C393">
        <f>TEXT(A393,"yyyy-mm")</f>
        <v/>
      </c>
      <c r="D393" s="20" t="n">
        <v>4.367724</v>
      </c>
      <c r="E393" s="20" t="n">
        <v>4.356544</v>
      </c>
      <c r="F393" s="20" t="n">
        <v>4.333118000000001</v>
      </c>
      <c r="G393" s="20" t="n">
        <v>4.346544</v>
      </c>
      <c r="H393" s="20" t="n">
        <v>4.3518</v>
      </c>
      <c r="I393" s="20" t="n">
        <v>4.343408</v>
      </c>
      <c r="J393" s="20" t="n">
        <v>4.364642</v>
      </c>
      <c r="K393" s="20" t="n">
        <v>4.482844</v>
      </c>
      <c r="L393" s="20" t="n">
        <v>4.525572</v>
      </c>
      <c r="M393" s="20" t="n">
        <v>4.546598</v>
      </c>
      <c r="N393" s="20" t="n">
        <v>4.38507</v>
      </c>
      <c r="O393" s="20" t="n">
        <v>4.402156</v>
      </c>
      <c r="P393" s="20" t="n">
        <v>4.446555999999999</v>
      </c>
      <c r="Q393" s="20" t="n">
        <v>4.430631999999999</v>
      </c>
      <c r="R393" s="20" t="n">
        <v>4.401542</v>
      </c>
      <c r="S393" s="20" t="n">
        <v>4.423762</v>
      </c>
      <c r="T393" s="23">
        <f>IFERROR(AVERAGE(D393:S393),"")</f>
        <v/>
      </c>
    </row>
    <row r="394">
      <c r="A394" s="22" t="n">
        <v>46146</v>
      </c>
      <c r="B394" s="22" t="n">
        <v>46150</v>
      </c>
      <c r="C394">
        <f>TEXT(A394,"yyyy-mm")</f>
        <v/>
      </c>
      <c r="D394" s="20" t="n">
        <v>4.39399</v>
      </c>
      <c r="E394" s="20" t="n">
        <v>4.394946</v>
      </c>
      <c r="F394" s="20" t="n">
        <v>4.372558</v>
      </c>
      <c r="G394" s="20" t="n">
        <v>4.384946</v>
      </c>
      <c r="H394" s="20" t="n">
        <v>4.390126</v>
      </c>
      <c r="I394" s="20" t="n">
        <v>4.381244</v>
      </c>
      <c r="J394" s="20" t="n">
        <v>4.390488</v>
      </c>
      <c r="K394" s="20" t="n">
        <v>4.520708</v>
      </c>
      <c r="L394" s="20" t="n">
        <v>4.562072</v>
      </c>
      <c r="M394" s="20" t="n">
        <v>4.582872</v>
      </c>
      <c r="N394" s="20" t="n">
        <v>4.423042000000001</v>
      </c>
      <c r="O394" s="20" t="n">
        <v>4.43995</v>
      </c>
      <c r="P394" s="20" t="n">
        <v>4.483886</v>
      </c>
      <c r="Q394" s="20" t="n">
        <v>4.468126</v>
      </c>
      <c r="R394" s="20" t="n">
        <v>4.438770000000001</v>
      </c>
      <c r="S394" s="20" t="n">
        <v>4.448992000000001</v>
      </c>
      <c r="T394" s="23">
        <f>IFERROR(AVERAGE(D394:S394),"")</f>
        <v/>
      </c>
    </row>
    <row r="395">
      <c r="A395" s="22" t="n">
        <v>46153</v>
      </c>
      <c r="B395" s="22" t="n">
        <v>46157</v>
      </c>
      <c r="C395">
        <f>TEXT(A395,"yyyy-mm")</f>
        <v/>
      </c>
      <c r="D395" s="20" t="n">
        <v>4.213942</v>
      </c>
      <c r="E395" s="20" t="n">
        <v>4.222848</v>
      </c>
      <c r="F395" s="20" t="n">
        <v>4.201416</v>
      </c>
      <c r="G395" s="20" t="n">
        <v>4.212848</v>
      </c>
      <c r="H395" s="20" t="n">
        <v>4.217956</v>
      </c>
      <c r="I395" s="20" t="n">
        <v>4.20863</v>
      </c>
      <c r="J395" s="20" t="n">
        <v>4.211648</v>
      </c>
      <c r="K395" s="20" t="n">
        <v>4.350862</v>
      </c>
      <c r="L395" s="20" t="n">
        <v>4.391402</v>
      </c>
      <c r="M395" s="20" t="n">
        <v>4.412392</v>
      </c>
      <c r="N395" s="20" t="n">
        <v>4.251162</v>
      </c>
      <c r="O395" s="20" t="n">
        <v>4.268218</v>
      </c>
      <c r="P395" s="20" t="n">
        <v>4.312538</v>
      </c>
      <c r="Q395" s="20" t="n">
        <v>4.29664</v>
      </c>
      <c r="R395" s="20" t="n">
        <v>4.266658000000001</v>
      </c>
      <c r="S395" s="20" t="n">
        <v>4.270659999999999</v>
      </c>
      <c r="T395" s="23">
        <f>IFERROR(AVERAGE(D395:S395),"")</f>
        <v/>
      </c>
    </row>
    <row r="396">
      <c r="A396" s="22" t="n">
        <v>46160</v>
      </c>
      <c r="B396" s="22" t="n">
        <v>46164</v>
      </c>
      <c r="C396">
        <f>TEXT(A396,"yyyy-mm")</f>
        <v/>
      </c>
      <c r="D396" s="20" t="n">
        <v>3.944694</v>
      </c>
      <c r="E396" s="20" t="n">
        <v>3.954064</v>
      </c>
      <c r="F396" s="20" t="n">
        <v>3.932692</v>
      </c>
      <c r="G396" s="20" t="n">
        <v>3.944064</v>
      </c>
      <c r="H396" s="20" t="n">
        <v>3.94917</v>
      </c>
      <c r="I396" s="20" t="n">
        <v>3.939814</v>
      </c>
      <c r="J396" s="20" t="n">
        <v>3.942508</v>
      </c>
      <c r="K396" s="20" t="n">
        <v>4.083434</v>
      </c>
      <c r="L396" s="20" t="n">
        <v>4.124116</v>
      </c>
      <c r="M396" s="20" t="n">
        <v>4.145288</v>
      </c>
      <c r="N396" s="20" t="n">
        <v>3.982664</v>
      </c>
      <c r="O396" s="20" t="n">
        <v>3.999868</v>
      </c>
      <c r="P396" s="20" t="n">
        <v>4.044566</v>
      </c>
      <c r="Q396" s="20" t="n">
        <v>4.028534000000001</v>
      </c>
      <c r="R396" s="20" t="n">
        <v>3.998344</v>
      </c>
      <c r="S396" s="20" t="n">
        <v>4.002028</v>
      </c>
      <c r="T396" s="23">
        <f>IFERROR(AVERAGE(D396:S396),"")</f>
        <v/>
      </c>
    </row>
    <row r="397">
      <c r="A397" s="22" t="n">
        <v>46167</v>
      </c>
      <c r="B397" s="22" t="n">
        <v>46171</v>
      </c>
      <c r="C397">
        <f>TEXT(A397,"yyyy-mm")</f>
        <v/>
      </c>
      <c r="D397" s="20" t="n">
        <v>3.453535</v>
      </c>
      <c r="E397" s="20" t="n">
        <v>3.460193</v>
      </c>
      <c r="F397" s="20" t="n">
        <v>3.43852</v>
      </c>
      <c r="G397" s="20" t="n">
        <v>3.450193</v>
      </c>
      <c r="H397" s="20" t="n">
        <v>3.455318</v>
      </c>
      <c r="I397" s="20" t="n">
        <v>3.446105</v>
      </c>
      <c r="J397" s="20" t="n">
        <v>3.451068</v>
      </c>
      <c r="K397" s="20" t="n">
        <v>3.59005</v>
      </c>
      <c r="L397" s="20" t="n">
        <v>3.63118</v>
      </c>
      <c r="M397" s="20" t="n">
        <v>3.65246</v>
      </c>
      <c r="N397" s="20" t="n">
        <v>3.488985</v>
      </c>
      <c r="O397" s="20" t="n">
        <v>3.50628</v>
      </c>
      <c r="P397" s="20" t="n">
        <v>3.551218</v>
      </c>
      <c r="Q397" s="20" t="n">
        <v>3.535098</v>
      </c>
      <c r="R397" s="20" t="n">
        <v>3.504938</v>
      </c>
      <c r="S397" s="20" t="n">
        <v>3.510903</v>
      </c>
      <c r="T397" s="23">
        <f>IFERROR(AVERAGE(D397:S397),"")</f>
        <v/>
      </c>
    </row>
    <row r="398">
      <c r="A398" s="22" t="n">
        <v>46174</v>
      </c>
      <c r="B398" s="22" t="n">
        <v>46178</v>
      </c>
      <c r="C398">
        <f>TEXT(A398,"yyyy-mm")</f>
        <v/>
      </c>
      <c r="D398" s="20" t="n">
        <v>3.397416</v>
      </c>
      <c r="E398" s="20" t="n">
        <v>3.399718</v>
      </c>
      <c r="F398" s="20" t="n">
        <v>3.377524</v>
      </c>
      <c r="G398" s="20" t="n">
        <v>3.389718</v>
      </c>
      <c r="H398" s="20" t="n">
        <v>3.394888</v>
      </c>
      <c r="I398" s="20" t="n">
        <v>3.385916</v>
      </c>
      <c r="J398" s="20" t="n">
        <v>3.394286</v>
      </c>
      <c r="K398" s="20" t="n">
        <v>3.52974</v>
      </c>
      <c r="L398" s="20" t="n">
        <v>3.571546</v>
      </c>
      <c r="M398" s="20" t="n">
        <v>3.592922</v>
      </c>
      <c r="N398" s="20" t="n">
        <v>3.428704</v>
      </c>
      <c r="O398" s="20" t="n">
        <v>3.446078</v>
      </c>
      <c r="P398" s="20" t="n">
        <v>3.491218</v>
      </c>
      <c r="Q398" s="20" t="n">
        <v>3.475026</v>
      </c>
      <c r="R398" s="20" t="n">
        <v>3.445018</v>
      </c>
      <c r="S398" s="20" t="n">
        <v>3.454392</v>
      </c>
      <c r="T398" s="23">
        <f>IFERROR(AVERAGE(D398:S398),"")</f>
        <v/>
      </c>
    </row>
    <row r="399">
      <c r="A399" s="22" t="n">
        <v>46181</v>
      </c>
      <c r="B399" s="22" t="n">
        <v>46185</v>
      </c>
      <c r="C399">
        <f>TEXT(A399,"yyyy-mm")</f>
        <v/>
      </c>
      <c r="D399" s="20" t="n">
        <v>3.358578</v>
      </c>
      <c r="E399" s="20" t="n">
        <v>3.359646</v>
      </c>
      <c r="F399" s="20" t="n">
        <v>3.337308</v>
      </c>
      <c r="G399" s="20" t="n">
        <v>3.349646</v>
      </c>
      <c r="H399" s="20" t="n">
        <v>3.354822</v>
      </c>
      <c r="I399" s="20" t="n">
        <v>3.345918</v>
      </c>
      <c r="J399" s="20" t="n">
        <v>3.355318</v>
      </c>
      <c r="K399" s="20" t="n">
        <v>3.49192</v>
      </c>
      <c r="L399" s="20" t="n">
        <v>3.534262</v>
      </c>
      <c r="M399" s="20" t="n">
        <v>3.55597</v>
      </c>
      <c r="N399" s="20" t="n">
        <v>3.389174</v>
      </c>
      <c r="O399" s="20" t="n">
        <v>3.40682</v>
      </c>
      <c r="P399" s="20" t="n">
        <v>3.45267</v>
      </c>
      <c r="Q399" s="20" t="n">
        <v>3.436224</v>
      </c>
      <c r="R399" s="20" t="n">
        <v>3.40595</v>
      </c>
      <c r="S399" s="20" t="n">
        <v>3.416368</v>
      </c>
      <c r="T399" s="23">
        <f>IFERROR(AVERAGE(D399:S399),"")</f>
        <v/>
      </c>
    </row>
    <row r="400">
      <c r="A400" s="22" t="n">
        <v>46188</v>
      </c>
      <c r="B400" s="22" t="n">
        <v>46192</v>
      </c>
      <c r="C400">
        <f>TEXT(A400,"yyyy-mm")</f>
        <v/>
      </c>
      <c r="D400" s="20" t="n">
        <v>3.118275</v>
      </c>
      <c r="E400" s="20" t="n">
        <v>3.125608</v>
      </c>
      <c r="F400" s="20" t="n">
        <v>3.103935</v>
      </c>
      <c r="G400" s="20" t="n">
        <v>3.115608</v>
      </c>
      <c r="H400" s="20" t="n">
        <v>3.12073</v>
      </c>
      <c r="I400" s="20" t="n">
        <v>3.11151</v>
      </c>
      <c r="J400" s="20" t="n">
        <v>3.11552</v>
      </c>
      <c r="K400" s="20" t="n">
        <v>3.257388</v>
      </c>
      <c r="L400" s="20" t="n">
        <v>3.298825</v>
      </c>
      <c r="M400" s="20" t="n">
        <v>3.320375</v>
      </c>
      <c r="N400" s="20" t="n">
        <v>3.154823</v>
      </c>
      <c r="O400" s="20" t="n">
        <v>3.172338</v>
      </c>
      <c r="P400" s="20" t="n">
        <v>3.217845</v>
      </c>
      <c r="Q400" s="20" t="n">
        <v>3.201523</v>
      </c>
      <c r="R400" s="20" t="n">
        <v>3.171095</v>
      </c>
      <c r="S400" s="20" t="n">
        <v>3.17611</v>
      </c>
      <c r="T400" s="23">
        <f>IFERROR(AVERAGE(D400:S400),"")</f>
        <v/>
      </c>
    </row>
    <row r="401">
      <c r="A401" s="22" t="n">
        <v>46195</v>
      </c>
      <c r="B401" s="22" t="n">
        <v>46199</v>
      </c>
      <c r="C401">
        <f>TEXT(A401,"yyyy-mm")</f>
        <v/>
      </c>
      <c r="D401" s="20" t="n">
        <v>3.094178</v>
      </c>
      <c r="E401" s="20" t="n">
        <v>3.103308</v>
      </c>
      <c r="F401" s="20" t="n">
        <v>3.081926</v>
      </c>
      <c r="G401" s="20" t="n">
        <v>3.093308</v>
      </c>
      <c r="H401" s="20" t="n">
        <v>3.098412</v>
      </c>
      <c r="I401" s="20" t="n">
        <v>3.089062</v>
      </c>
      <c r="J401" s="20" t="n">
        <v>3.092098</v>
      </c>
      <c r="K401" s="20" t="n">
        <v>3.237594</v>
      </c>
      <c r="L401" s="20" t="n">
        <v>3.279076</v>
      </c>
      <c r="M401" s="20" t="n">
        <v>3.30094</v>
      </c>
      <c r="N401" s="20" t="n">
        <v>3.133002</v>
      </c>
      <c r="O401" s="20" t="n">
        <v>3.150764</v>
      </c>
      <c r="P401" s="20" t="n">
        <v>3.196928</v>
      </c>
      <c r="Q401" s="20" t="n">
        <v>3.18037</v>
      </c>
      <c r="R401" s="20" t="n">
        <v>3.149502</v>
      </c>
      <c r="S401" s="20" t="n">
        <v>3.153564</v>
      </c>
      <c r="T401" s="23">
        <f>IFERROR(AVERAGE(D401:S401),"")</f>
        <v/>
      </c>
    </row>
    <row r="402">
      <c r="A402" s="22" t="n">
        <v>46202</v>
      </c>
      <c r="B402" s="22" t="n">
        <v>46206</v>
      </c>
      <c r="C402">
        <f>TEXT(A402,"yyyy-mm")</f>
        <v/>
      </c>
      <c r="D402" s="20" t="n">
        <v>3.150233</v>
      </c>
      <c r="E402" s="20" t="n">
        <v>3.154093</v>
      </c>
      <c r="F402" s="20" t="n">
        <v>3.132175</v>
      </c>
      <c r="G402" s="20" t="n">
        <v>3.144093</v>
      </c>
      <c r="H402" s="20" t="n">
        <v>3.149235</v>
      </c>
      <c r="I402" s="20" t="n">
        <v>3.140135</v>
      </c>
      <c r="J402" s="20" t="n">
        <v>3.14784</v>
      </c>
      <c r="K402" s="20" t="n">
        <v>3.288178</v>
      </c>
      <c r="L402" s="20" t="n">
        <v>3.330293</v>
      </c>
      <c r="M402" s="20" t="n">
        <v>3.352203</v>
      </c>
      <c r="N402" s="20" t="n">
        <v>3.183898</v>
      </c>
      <c r="O402" s="20" t="n">
        <v>3.2017</v>
      </c>
      <c r="P402" s="20" t="n">
        <v>3.247965</v>
      </c>
      <c r="Q402" s="20" t="n">
        <v>3.23137</v>
      </c>
      <c r="R402" s="20" t="n">
        <v>3.20071</v>
      </c>
      <c r="S402" s="20" t="n">
        <v>3.209443</v>
      </c>
      <c r="T402" s="23">
        <f>IFERROR(AVERAGE(D402:S402),"")</f>
        <v/>
      </c>
    </row>
    <row r="403">
      <c r="A403" s="22" t="n">
        <v>46209</v>
      </c>
      <c r="B403" s="22" t="n">
        <v>46213</v>
      </c>
      <c r="C403">
        <f>TEXT(A403,"yyyy-mm")</f>
        <v/>
      </c>
      <c r="D403" s="20" t="n">
        <v>3.265408</v>
      </c>
      <c r="E403" s="20" t="n">
        <v>3.266746</v>
      </c>
      <c r="F403" s="20" t="n">
        <v>3.244514</v>
      </c>
      <c r="G403" s="20" t="n">
        <v>3.256746</v>
      </c>
      <c r="H403" s="20" t="n">
        <v>3.261914</v>
      </c>
      <c r="I403" s="20" t="n">
        <v>3.252962</v>
      </c>
      <c r="J403" s="20" t="n">
        <v>3.26259</v>
      </c>
      <c r="K403" s="20" t="n">
        <v>3.398858</v>
      </c>
      <c r="L403" s="20" t="n">
        <v>3.441046</v>
      </c>
      <c r="M403" s="20" t="n">
        <v>3.462722</v>
      </c>
      <c r="N403" s="20" t="n">
        <v>3.29621</v>
      </c>
      <c r="O403" s="20" t="n">
        <v>3.313822</v>
      </c>
      <c r="P403" s="20" t="n">
        <v>3.359592</v>
      </c>
      <c r="Q403" s="20" t="n">
        <v>3.343178</v>
      </c>
      <c r="R403" s="20" t="n">
        <v>3.312892</v>
      </c>
      <c r="S403" s="20" t="n">
        <v>3.323532</v>
      </c>
      <c r="T403" s="23">
        <f>IFERROR(AVERAGE(D403:S403),"")</f>
        <v/>
      </c>
    </row>
    <row r="404">
      <c r="A404" s="22" t="n">
        <v>46216</v>
      </c>
      <c r="B404" s="22" t="n">
        <v>46220</v>
      </c>
      <c r="C404">
        <f>TEXT(A404,"yyyy-mm")</f>
        <v/>
      </c>
      <c r="D404" s="20" t="n">
        <v>3.550866</v>
      </c>
      <c r="E404" s="20" t="n">
        <v>3.554556</v>
      </c>
      <c r="F404" s="20" t="n">
        <v>3.532468</v>
      </c>
      <c r="G404" s="20" t="n">
        <v>3.544556</v>
      </c>
      <c r="H404" s="20" t="n">
        <v>3.549712</v>
      </c>
      <c r="I404" s="20" t="n">
        <v>3.540692</v>
      </c>
      <c r="J404" s="20" t="n">
        <v>3.54765</v>
      </c>
      <c r="K404" s="20" t="n">
        <v>3.685816</v>
      </c>
      <c r="L404" s="20" t="n">
        <v>3.727684</v>
      </c>
      <c r="M404" s="20" t="n">
        <v>3.749222</v>
      </c>
      <c r="N404" s="20" t="n">
        <v>3.583784</v>
      </c>
      <c r="O404" s="20" t="n">
        <v>3.601288</v>
      </c>
      <c r="P404" s="20" t="n">
        <v>3.64676</v>
      </c>
      <c r="Q404" s="20" t="n">
        <v>3.630448</v>
      </c>
      <c r="R404" s="20" t="n">
        <v>3.600234</v>
      </c>
      <c r="S404" s="20" t="n">
        <v>3.608202</v>
      </c>
      <c r="T404" s="23">
        <f>IFERROR(AVERAGE(D404:S404),"")</f>
        <v/>
      </c>
    </row>
    <row r="405">
      <c r="A405" s="22" t="n">
        <v>46223</v>
      </c>
      <c r="B405" s="22" t="n">
        <v>46227</v>
      </c>
      <c r="C405">
        <f>TEXT(A405,"yyyy-mm")</f>
        <v/>
      </c>
      <c r="D405" s="20" t="n">
        <v>3.693042</v>
      </c>
      <c r="E405" s="20" t="n">
        <v>3.695266</v>
      </c>
      <c r="F405" s="20" t="n">
        <v>3.673198</v>
      </c>
      <c r="G405" s="20" t="n">
        <v>3.685266</v>
      </c>
      <c r="H405" s="20" t="n">
        <v>3.69042</v>
      </c>
      <c r="I405" s="20" t="n">
        <v>3.68139</v>
      </c>
      <c r="J405" s="20" t="n">
        <v>3.690656</v>
      </c>
      <c r="K405" s="20" t="n">
        <v>3.82584</v>
      </c>
      <c r="L405" s="20" t="n">
        <v>3.867576</v>
      </c>
      <c r="M405" s="20" t="n">
        <v>3.889012</v>
      </c>
      <c r="N405" s="20" t="n">
        <v>3.724338</v>
      </c>
      <c r="O405" s="20" t="n">
        <v>3.741758</v>
      </c>
      <c r="P405" s="20" t="n">
        <v>3.787022</v>
      </c>
      <c r="Q405" s="20" t="n">
        <v>3.77079</v>
      </c>
      <c r="R405" s="20" t="n">
        <v>3.74066</v>
      </c>
      <c r="S405" s="20" t="n">
        <v>3.750928</v>
      </c>
      <c r="T405" s="23">
        <f>IFERROR(AVERAGE(D405:S405),"")</f>
        <v/>
      </c>
    </row>
    <row r="406">
      <c r="A406" s="22" t="n">
        <v>46230</v>
      </c>
      <c r="B406" s="22" t="n">
        <v>46234</v>
      </c>
      <c r="C406">
        <f>TEXT(A406,"yyyy-mm")</f>
        <v/>
      </c>
      <c r="D406" s="20" t="n">
        <v>3.616902</v>
      </c>
      <c r="E406" s="20" t="n">
        <v>3.617576</v>
      </c>
      <c r="F406" s="20" t="n">
        <v>3.595286</v>
      </c>
      <c r="G406" s="20" t="n">
        <v>3.607576</v>
      </c>
      <c r="H406" s="20" t="n">
        <v>3.612746</v>
      </c>
      <c r="I406" s="20" t="n">
        <v>3.603818</v>
      </c>
      <c r="J406" s="20" t="n">
        <v>3.614108</v>
      </c>
      <c r="K406" s="20" t="n">
        <v>3.748618</v>
      </c>
      <c r="L406" s="20" t="n">
        <v>3.790704</v>
      </c>
      <c r="M406" s="20" t="n">
        <v>3.812234</v>
      </c>
      <c r="N406" s="20" t="n">
        <v>3.646814</v>
      </c>
      <c r="O406" s="20" t="n">
        <v>3.664314</v>
      </c>
      <c r="P406" s="20" t="n">
        <v>3.709784</v>
      </c>
      <c r="Q406" s="20" t="n">
        <v>3.693474</v>
      </c>
      <c r="R406" s="20" t="n">
        <v>3.663354</v>
      </c>
      <c r="S406" s="20" t="n">
        <v>3.674654</v>
      </c>
      <c r="T406" s="23">
        <f>IFERROR(AVERAGE(D406:S406),"")</f>
        <v/>
      </c>
    </row>
    <row r="407">
      <c r="A407" s="22" t="n">
        <v>46237</v>
      </c>
      <c r="B407" s="22" t="n">
        <v>46241</v>
      </c>
      <c r="C407">
        <f>TEXT(A407,"yyyy-mm")</f>
        <v/>
      </c>
      <c r="D407" s="20" t="n">
        <v>3.289846</v>
      </c>
      <c r="E407" s="20" t="n">
        <v>3.29583</v>
      </c>
      <c r="F407" s="20" t="n">
        <v>3.27404</v>
      </c>
      <c r="G407" s="20" t="n">
        <v>3.28583</v>
      </c>
      <c r="H407" s="20" t="n">
        <v>3.290964</v>
      </c>
      <c r="I407" s="20" t="n">
        <v>3.2818</v>
      </c>
      <c r="J407" s="20" t="n">
        <v>3.28713</v>
      </c>
      <c r="K407" s="20" t="n">
        <v>3.427622</v>
      </c>
      <c r="L407" s="20" t="n">
        <v>3.469208</v>
      </c>
      <c r="M407" s="20" t="n">
        <v>3.490774</v>
      </c>
      <c r="N407" s="20" t="n">
        <v>3.325086</v>
      </c>
      <c r="O407" s="20" t="n">
        <v>3.342616</v>
      </c>
      <c r="P407" s="20" t="n">
        <v>3.388158</v>
      </c>
      <c r="Q407" s="20" t="n">
        <v>3.371822</v>
      </c>
      <c r="R407" s="20" t="n">
        <v>3.341432</v>
      </c>
      <c r="S407" s="20" t="n">
        <v>3.347772</v>
      </c>
      <c r="T407" s="23">
        <f>IFERROR(AVERAGE(D407:S407),"")</f>
        <v/>
      </c>
    </row>
    <row r="408">
      <c r="A408" s="22" t="n">
        <v>46244</v>
      </c>
      <c r="B408" s="22" t="n">
        <v>46248</v>
      </c>
      <c r="C408">
        <f>TEXT(A408,"yyyy-mm")</f>
        <v/>
      </c>
      <c r="D408" s="20" t="n">
        <v>3.425728</v>
      </c>
      <c r="E408" s="20" t="n">
        <v>3.43351</v>
      </c>
      <c r="F408" s="20" t="n">
        <v>3.41197</v>
      </c>
      <c r="G408" s="20" t="n">
        <v>3.42351</v>
      </c>
      <c r="H408" s="20" t="n">
        <v>3.428628</v>
      </c>
      <c r="I408" s="20" t="n">
        <v>3.419348</v>
      </c>
      <c r="J408" s="20" t="n">
        <v>3.423424</v>
      </c>
      <c r="K408" s="20" t="n">
        <v>3.567336</v>
      </c>
      <c r="L408" s="20" t="n">
        <v>3.608944</v>
      </c>
      <c r="M408" s="20" t="n">
        <v>3.630764</v>
      </c>
      <c r="N408" s="20" t="n">
        <v>3.46315</v>
      </c>
      <c r="O408" s="20" t="n">
        <v>3.480878</v>
      </c>
      <c r="P408" s="20" t="n">
        <v>3.526954</v>
      </c>
      <c r="Q408" s="20" t="n">
        <v>3.51043</v>
      </c>
      <c r="R408" s="20" t="n">
        <v>3.479676</v>
      </c>
      <c r="S408" s="20" t="n">
        <v>3.484776</v>
      </c>
      <c r="T408" s="23">
        <f>IFERROR(AVERAGE(D408:S408),"")</f>
        <v/>
      </c>
    </row>
    <row r="409">
      <c r="A409" s="22" t="n">
        <v>46251</v>
      </c>
      <c r="B409" s="22" t="n">
        <v>46255</v>
      </c>
      <c r="C409">
        <f>TEXT(A409,"yyyy-mm")</f>
        <v/>
      </c>
      <c r="D409" s="20" t="n">
        <v>3.514292</v>
      </c>
      <c r="E409" s="20" t="n">
        <v>3.519014</v>
      </c>
      <c r="F409" s="20" t="n">
        <v>3.497044</v>
      </c>
      <c r="G409" s="20" t="n">
        <v>3.509014</v>
      </c>
      <c r="H409" s="20" t="n">
        <v>3.514164</v>
      </c>
      <c r="I409" s="20" t="n">
        <v>3.505094</v>
      </c>
      <c r="J409" s="20" t="n">
        <v>3.51114</v>
      </c>
      <c r="K409" s="20" t="n">
        <v>3.652444</v>
      </c>
      <c r="L409" s="20" t="n">
        <v>3.694526</v>
      </c>
      <c r="M409" s="20" t="n">
        <v>3.716348</v>
      </c>
      <c r="N409" s="20" t="n">
        <v>3.548694</v>
      </c>
      <c r="O409" s="20" t="n">
        <v>3.566428</v>
      </c>
      <c r="P409" s="20" t="n">
        <v>3.612514</v>
      </c>
      <c r="Q409" s="20" t="n">
        <v>3.595984</v>
      </c>
      <c r="R409" s="20" t="n">
        <v>3.565432</v>
      </c>
      <c r="S409" s="20" t="n">
        <v>3.5725</v>
      </c>
      <c r="T409" s="23">
        <f>IFERROR(AVERAGE(D409:S409),"")</f>
        <v/>
      </c>
    </row>
    <row r="410">
      <c r="A410" s="22" t="n">
        <v>46258</v>
      </c>
      <c r="B410" s="22" t="n">
        <v>46262</v>
      </c>
      <c r="C410">
        <f>TEXT(A410,"yyyy-mm")</f>
        <v/>
      </c>
      <c r="D410" s="20" t="n">
        <v>3.477642</v>
      </c>
      <c r="E410" s="20" t="n">
        <v>3.483464</v>
      </c>
      <c r="F410" s="20" t="n">
        <v>3.461586</v>
      </c>
      <c r="G410" s="20" t="n">
        <v>3.473464</v>
      </c>
      <c r="H410" s="20" t="n">
        <v>3.478604</v>
      </c>
      <c r="I410" s="20" t="n">
        <v>3.469486</v>
      </c>
      <c r="J410" s="20" t="n">
        <v>3.47451</v>
      </c>
      <c r="K410" s="20" t="n">
        <v>3.616478</v>
      </c>
      <c r="L410" s="20" t="n">
        <v>3.658372</v>
      </c>
      <c r="M410" s="20" t="n">
        <v>3.680124</v>
      </c>
      <c r="N410" s="20" t="n">
        <v>3.513022</v>
      </c>
      <c r="O410" s="20" t="n">
        <v>3.530698</v>
      </c>
      <c r="P410" s="20" t="n">
        <v>3.57663</v>
      </c>
      <c r="Q410" s="20" t="n">
        <v>3.560156</v>
      </c>
      <c r="R410" s="20" t="n">
        <v>3.529626</v>
      </c>
      <c r="S410" s="20" t="n">
        <v>3.53567</v>
      </c>
      <c r="T410" s="23">
        <f>IFERROR(AVERAGE(D410:S410),"")</f>
        <v/>
      </c>
    </row>
    <row r="411">
      <c r="A411" s="22" t="n">
        <v>46265</v>
      </c>
      <c r="B411" s="22" t="n">
        <v>46269</v>
      </c>
      <c r="C411">
        <f>TEXT(A411,"yyyy-mm")</f>
        <v/>
      </c>
      <c r="D411" s="20" t="n">
        <v>3.586222</v>
      </c>
      <c r="E411" s="20" t="n">
        <v>3.591004</v>
      </c>
      <c r="F411" s="20" t="n">
        <v>3.56902</v>
      </c>
      <c r="G411" s="20" t="n">
        <v>3.581004</v>
      </c>
      <c r="H411" s="20" t="n">
        <v>3.586154</v>
      </c>
      <c r="I411" s="20" t="n">
        <v>3.577082</v>
      </c>
      <c r="J411" s="20" t="n">
        <v>3.583024</v>
      </c>
      <c r="K411" s="20" t="n">
        <v>3.722946</v>
      </c>
      <c r="L411" s="20" t="n">
        <v>3.764798</v>
      </c>
      <c r="M411" s="20" t="n">
        <v>3.786418</v>
      </c>
      <c r="N411" s="20" t="n">
        <v>3.620356</v>
      </c>
      <c r="O411" s="20" t="n">
        <v>3.637922</v>
      </c>
      <c r="P411" s="20" t="n">
        <v>3.683568</v>
      </c>
      <c r="Q411" s="20" t="n">
        <v>3.667194</v>
      </c>
      <c r="R411" s="20" t="n">
        <v>3.636848</v>
      </c>
      <c r="S411" s="20" t="n">
        <v>3.643806</v>
      </c>
      <c r="T411" s="23">
        <f>IFERROR(AVERAGE(D411:S411),"")</f>
        <v/>
      </c>
    </row>
    <row r="412">
      <c r="A412" s="22" t="n">
        <v>46272</v>
      </c>
      <c r="B412" s="22" t="n">
        <v>46276</v>
      </c>
      <c r="C412">
        <f>TEXT(A412,"yyyy-mm")</f>
        <v/>
      </c>
      <c r="D412" s="20" t="n">
        <v>3.674975</v>
      </c>
      <c r="E412" s="20" t="n">
        <v>3.68102</v>
      </c>
      <c r="F412" s="20" t="n">
        <v>3.6592</v>
      </c>
      <c r="G412" s="20" t="n">
        <v>3.67102</v>
      </c>
      <c r="H412" s="20" t="n">
        <v>3.676158</v>
      </c>
      <c r="I412" s="20" t="n">
        <v>3.667013</v>
      </c>
      <c r="J412" s="20" t="n">
        <v>3.67204</v>
      </c>
      <c r="K412" s="20" t="n">
        <v>3.812255</v>
      </c>
      <c r="L412" s="20" t="n">
        <v>3.853793</v>
      </c>
      <c r="M412" s="20" t="n">
        <v>3.875288</v>
      </c>
      <c r="N412" s="20" t="n">
        <v>3.710163</v>
      </c>
      <c r="O412" s="20" t="n">
        <v>3.727633</v>
      </c>
      <c r="P412" s="20" t="n">
        <v>3.773023</v>
      </c>
      <c r="Q412" s="20" t="n">
        <v>3.75674</v>
      </c>
      <c r="R412" s="20" t="n">
        <v>3.726435</v>
      </c>
      <c r="S412" s="20" t="n">
        <v>3.732478</v>
      </c>
      <c r="T412" s="23">
        <f>IFERROR(AVERAGE(D412:S412),"")</f>
        <v/>
      </c>
    </row>
    <row r="413">
      <c r="A413" s="22" t="n">
        <v>46279</v>
      </c>
      <c r="B413" s="22" t="n">
        <v>46283</v>
      </c>
      <c r="C413">
        <f>TEXT(A413,"yyyy-mm")</f>
        <v/>
      </c>
      <c r="D413" s="20" t="n">
        <v>3.733202</v>
      </c>
      <c r="E413" s="20" t="n">
        <v>3.738782</v>
      </c>
      <c r="F413" s="20" t="n">
        <v>3.716926</v>
      </c>
      <c r="G413" s="20" t="n">
        <v>3.728782</v>
      </c>
      <c r="H413" s="20" t="n">
        <v>3.73392</v>
      </c>
      <c r="I413" s="20" t="n">
        <v>3.724792</v>
      </c>
      <c r="J413" s="20" t="n">
        <v>3.73029</v>
      </c>
      <c r="K413" s="20" t="n">
        <v>3.871232</v>
      </c>
      <c r="L413" s="20" t="n">
        <v>3.913012</v>
      </c>
      <c r="M413" s="20" t="n">
        <v>3.934682</v>
      </c>
      <c r="N413" s="20" t="n">
        <v>3.768208</v>
      </c>
      <c r="O413" s="20" t="n">
        <v>3.785818</v>
      </c>
      <c r="P413" s="20" t="n">
        <v>3.83158</v>
      </c>
      <c r="Q413" s="20" t="n">
        <v>3.815166</v>
      </c>
      <c r="R413" s="20" t="n">
        <v>3.784706</v>
      </c>
      <c r="S413" s="20" t="n">
        <v>3.791222</v>
      </c>
      <c r="T413" s="23">
        <f>IFERROR(AVERAGE(D413:S413),"")</f>
        <v/>
      </c>
    </row>
    <row r="414">
      <c r="A414" s="22" t="n">
        <v>46286</v>
      </c>
      <c r="B414" s="22" t="n">
        <v>46290</v>
      </c>
      <c r="C414">
        <f>TEXT(A414,"yyyy-mm")</f>
        <v/>
      </c>
      <c r="D414" s="20" t="n">
        <v>3.799536</v>
      </c>
      <c r="E414" s="20" t="n">
        <v>3.80314</v>
      </c>
      <c r="F414" s="20" t="n">
        <v>3.781106</v>
      </c>
      <c r="G414" s="20" t="n">
        <v>3.79314</v>
      </c>
      <c r="H414" s="20" t="n">
        <v>3.798294</v>
      </c>
      <c r="I414" s="20" t="n">
        <v>3.789244</v>
      </c>
      <c r="J414" s="20" t="n">
        <v>3.79668</v>
      </c>
      <c r="K414" s="20" t="n">
        <v>3.935612</v>
      </c>
      <c r="L414" s="20" t="n">
        <v>3.977612</v>
      </c>
      <c r="M414" s="20" t="n">
        <v>3.999306</v>
      </c>
      <c r="N414" s="20" t="n">
        <v>3.832622</v>
      </c>
      <c r="O414" s="20" t="n">
        <v>3.850254</v>
      </c>
      <c r="P414" s="20" t="n">
        <v>3.89607</v>
      </c>
      <c r="Q414" s="20" t="n">
        <v>3.879638</v>
      </c>
      <c r="R414" s="20" t="n">
        <v>3.849234</v>
      </c>
      <c r="S414" s="20" t="n">
        <v>3.857688</v>
      </c>
      <c r="T414" s="23">
        <f>IFERROR(AVERAGE(D414:S414),"")</f>
        <v/>
      </c>
    </row>
    <row r="416">
      <c r="A416" s="21" t="inlineStr">
        <is>
          <t>Fonte: ANP, PPI (S&amp;P Global Commodity Insights / Abicom-StoneX) — download oficial, 412 semanas, 2018-11-05 a 2026-09-21.</t>
        </is>
      </c>
    </row>
  </sheetData>
  <mergeCells count="1">
    <mergeCell ref="A1:T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3"/>
  <sheetViews>
    <sheetView showGridLines="0" tabSelected="0" workbookViewId="0">
      <pane ySplit="2" topLeftCell="A3" activePane="bottomLeft" state="frozen"/>
      <selection pane="bottomLeft" activeCell="A1" sqref="A1"/>
    </sheetView>
  </sheetViews>
  <sheetFormatPr baseColWidth="8" defaultRowHeight="15"/>
  <cols>
    <col width="13" customWidth="1" min="1" max="1"/>
    <col width="13" customWidth="1" min="2" max="2"/>
    <col width="9" customWidth="1" min="3" max="3"/>
    <col width="16" customWidth="1" min="4" max="4"/>
    <col width="3" customWidth="1" min="5" max="5"/>
    <col width="13" customWidth="1" min="6" max="6"/>
    <col width="13" customWidth="1" min="7" max="7"/>
    <col width="9" customWidth="1" min="8" max="8"/>
    <col width="16" customWidth="1" min="9" max="9"/>
  </cols>
  <sheetData>
    <row r="1">
      <c r="A1" s="6" t="inlineStr">
        <is>
          <t>Preço de realização — ANP, preço médio ponderado semanal praticado pelas refinarias, Brasil, sem ICMS (R$/litro)</t>
        </is>
      </c>
      <c r="F1" s="6" t="inlineStr">
        <is>
          <t>Preço de realização — Gasolina A Comum, Brasil, sem ICMS (R$/litro)</t>
        </is>
      </c>
    </row>
    <row r="2">
      <c r="A2" s="18" t="inlineStr">
        <is>
          <t>Semana início</t>
        </is>
      </c>
      <c r="B2" s="18" t="inlineStr">
        <is>
          <t>Semana fim</t>
        </is>
      </c>
      <c r="C2" s="18" t="inlineStr">
        <is>
          <t>AnoMes</t>
        </is>
      </c>
      <c r="D2" s="18" t="inlineStr">
        <is>
          <t>Diesel Brasil (R$/L)</t>
        </is>
      </c>
      <c r="F2" s="18" t="inlineStr">
        <is>
          <t>Semana início</t>
        </is>
      </c>
      <c r="G2" s="18" t="inlineStr">
        <is>
          <t>Semana fim</t>
        </is>
      </c>
      <c r="H2" s="18" t="inlineStr">
        <is>
          <t>AnoMes</t>
        </is>
      </c>
      <c r="I2" s="18" t="inlineStr">
        <is>
          <t>Gasolina Brasil (R$/L)</t>
        </is>
      </c>
    </row>
    <row r="3">
      <c r="A3" s="22" t="n">
        <v>42373</v>
      </c>
      <c r="B3" s="22" t="n">
        <v>42379</v>
      </c>
      <c r="C3">
        <f>TEXT(A3,"yyyy-mm")</f>
        <v/>
      </c>
      <c r="D3" s="20" t="n">
        <v>2.06353</v>
      </c>
      <c r="F3" s="22" t="n">
        <v>42373</v>
      </c>
      <c r="G3" s="22" t="n">
        <v>42379</v>
      </c>
      <c r="H3">
        <f>TEXT(F3,"yyyy-mm")</f>
        <v/>
      </c>
      <c r="I3" s="20" t="n">
        <v>2.01747</v>
      </c>
    </row>
    <row r="4">
      <c r="A4" s="22" t="n">
        <v>42380</v>
      </c>
      <c r="B4" s="22" t="n">
        <v>42386</v>
      </c>
      <c r="C4">
        <f>TEXT(A4,"yyyy-mm")</f>
        <v/>
      </c>
      <c r="D4" s="20" t="n">
        <v>2.05869</v>
      </c>
      <c r="F4" s="22" t="n">
        <v>42380</v>
      </c>
      <c r="G4" s="22" t="n">
        <v>42386</v>
      </c>
      <c r="H4">
        <f>TEXT(F4,"yyyy-mm")</f>
        <v/>
      </c>
      <c r="I4" s="20" t="n">
        <v>2.01893</v>
      </c>
    </row>
    <row r="5">
      <c r="A5" s="22" t="n">
        <v>42387</v>
      </c>
      <c r="B5" s="22" t="n">
        <v>42393</v>
      </c>
      <c r="C5">
        <f>TEXT(A5,"yyyy-mm")</f>
        <v/>
      </c>
      <c r="D5" s="20" t="n">
        <v>2.06129</v>
      </c>
      <c r="F5" s="22" t="n">
        <v>42387</v>
      </c>
      <c r="G5" s="22" t="n">
        <v>42393</v>
      </c>
      <c r="H5">
        <f>TEXT(F5,"yyyy-mm")</f>
        <v/>
      </c>
      <c r="I5" s="20" t="n">
        <v>2.01517</v>
      </c>
    </row>
    <row r="6">
      <c r="A6" s="22" t="n">
        <v>42394</v>
      </c>
      <c r="B6" s="22" t="n">
        <v>42400</v>
      </c>
      <c r="C6">
        <f>TEXT(A6,"yyyy-mm")</f>
        <v/>
      </c>
      <c r="D6" s="20" t="n">
        <v>2.06188</v>
      </c>
      <c r="F6" s="22" t="n">
        <v>42394</v>
      </c>
      <c r="G6" s="22" t="n">
        <v>42400</v>
      </c>
      <c r="H6">
        <f>TEXT(F6,"yyyy-mm")</f>
        <v/>
      </c>
      <c r="I6" s="20" t="n">
        <v>2.01819</v>
      </c>
    </row>
    <row r="7">
      <c r="A7" s="22" t="n">
        <v>42401</v>
      </c>
      <c r="B7" s="22" t="n">
        <v>42407</v>
      </c>
      <c r="C7">
        <f>TEXT(A7,"yyyy-mm")</f>
        <v/>
      </c>
      <c r="D7" s="20" t="n">
        <v>2.05695</v>
      </c>
      <c r="F7" s="22" t="n">
        <v>42401</v>
      </c>
      <c r="G7" s="22" t="n">
        <v>42407</v>
      </c>
      <c r="H7">
        <f>TEXT(F7,"yyyy-mm")</f>
        <v/>
      </c>
      <c r="I7" s="20" t="n">
        <v>2.01971</v>
      </c>
    </row>
    <row r="8">
      <c r="A8" s="22" t="n">
        <v>42408</v>
      </c>
      <c r="B8" s="22" t="n">
        <v>42414</v>
      </c>
      <c r="C8">
        <f>TEXT(A8,"yyyy-mm")</f>
        <v/>
      </c>
      <c r="D8" s="20" t="n">
        <v>2.06299</v>
      </c>
      <c r="F8" s="22" t="n">
        <v>42408</v>
      </c>
      <c r="G8" s="22" t="n">
        <v>42414</v>
      </c>
      <c r="H8">
        <f>TEXT(F8,"yyyy-mm")</f>
        <v/>
      </c>
      <c r="I8" s="20" t="n">
        <v>2.02889</v>
      </c>
    </row>
    <row r="9">
      <c r="A9" s="22" t="n">
        <v>42415</v>
      </c>
      <c r="B9" s="22" t="n">
        <v>42421</v>
      </c>
      <c r="C9">
        <f>TEXT(A9,"yyyy-mm")</f>
        <v/>
      </c>
      <c r="D9" s="20" t="n">
        <v>2.06673</v>
      </c>
      <c r="F9" s="22" t="n">
        <v>42415</v>
      </c>
      <c r="G9" s="22" t="n">
        <v>42421</v>
      </c>
      <c r="H9">
        <f>TEXT(F9,"yyyy-mm")</f>
        <v/>
      </c>
      <c r="I9" s="20" t="n">
        <v>2.02598</v>
      </c>
    </row>
    <row r="10">
      <c r="A10" s="22" t="n">
        <v>42422</v>
      </c>
      <c r="B10" s="22" t="n">
        <v>42428</v>
      </c>
      <c r="C10">
        <f>TEXT(A10,"yyyy-mm")</f>
        <v/>
      </c>
      <c r="D10" s="20" t="n">
        <v>2.06216</v>
      </c>
      <c r="F10" s="22" t="n">
        <v>42422</v>
      </c>
      <c r="G10" s="22" t="n">
        <v>42428</v>
      </c>
      <c r="H10">
        <f>TEXT(F10,"yyyy-mm")</f>
        <v/>
      </c>
      <c r="I10" s="20" t="n">
        <v>2.02991</v>
      </c>
    </row>
    <row r="11">
      <c r="A11" s="22" t="n">
        <v>42429</v>
      </c>
      <c r="B11" s="22" t="n">
        <v>42435</v>
      </c>
      <c r="C11">
        <f>TEXT(A11,"yyyy-mm")</f>
        <v/>
      </c>
      <c r="D11" s="20" t="n">
        <v>2.06036</v>
      </c>
      <c r="F11" s="22" t="n">
        <v>42429</v>
      </c>
      <c r="G11" s="22" t="n">
        <v>42435</v>
      </c>
      <c r="H11">
        <f>TEXT(F11,"yyyy-mm")</f>
        <v/>
      </c>
      <c r="I11" s="20" t="n">
        <v>2.01838</v>
      </c>
    </row>
    <row r="12">
      <c r="A12" s="22" t="n">
        <v>42436</v>
      </c>
      <c r="B12" s="22" t="n">
        <v>42442</v>
      </c>
      <c r="C12">
        <f>TEXT(A12,"yyyy-mm")</f>
        <v/>
      </c>
      <c r="D12" s="20" t="n">
        <v>2.06421</v>
      </c>
      <c r="F12" s="22" t="n">
        <v>42436</v>
      </c>
      <c r="G12" s="22" t="n">
        <v>42442</v>
      </c>
      <c r="H12">
        <f>TEXT(F12,"yyyy-mm")</f>
        <v/>
      </c>
      <c r="I12" s="20" t="n">
        <v>2.02461</v>
      </c>
    </row>
    <row r="13">
      <c r="A13" s="22" t="n">
        <v>42443</v>
      </c>
      <c r="B13" s="22" t="n">
        <v>42449</v>
      </c>
      <c r="C13">
        <f>TEXT(A13,"yyyy-mm")</f>
        <v/>
      </c>
      <c r="D13" s="20" t="n">
        <v>2.05856</v>
      </c>
      <c r="F13" s="22" t="n">
        <v>42443</v>
      </c>
      <c r="G13" s="22" t="n">
        <v>42449</v>
      </c>
      <c r="H13">
        <f>TEXT(F13,"yyyy-mm")</f>
        <v/>
      </c>
      <c r="I13" s="20" t="n">
        <v>2.02639</v>
      </c>
    </row>
    <row r="14">
      <c r="A14" s="22" t="n">
        <v>42450</v>
      </c>
      <c r="B14" s="22" t="n">
        <v>42456</v>
      </c>
      <c r="C14">
        <f>TEXT(A14,"yyyy-mm")</f>
        <v/>
      </c>
      <c r="D14" s="20" t="n">
        <v>2.05978</v>
      </c>
      <c r="F14" s="22" t="n">
        <v>42450</v>
      </c>
      <c r="G14" s="22" t="n">
        <v>42456</v>
      </c>
      <c r="H14">
        <f>TEXT(F14,"yyyy-mm")</f>
        <v/>
      </c>
      <c r="I14" s="20" t="n">
        <v>2.02542</v>
      </c>
    </row>
    <row r="15">
      <c r="A15" s="22" t="n">
        <v>42457</v>
      </c>
      <c r="B15" s="22" t="n">
        <v>42463</v>
      </c>
      <c r="C15">
        <f>TEXT(A15,"yyyy-mm")</f>
        <v/>
      </c>
      <c r="D15" s="20" t="n">
        <v>2.06342</v>
      </c>
      <c r="F15" s="22" t="n">
        <v>42457</v>
      </c>
      <c r="G15" s="22" t="n">
        <v>42463</v>
      </c>
      <c r="H15">
        <f>TEXT(F15,"yyyy-mm")</f>
        <v/>
      </c>
      <c r="I15" s="20" t="n">
        <v>2.0209</v>
      </c>
    </row>
    <row r="16">
      <c r="A16" s="22" t="n">
        <v>42464</v>
      </c>
      <c r="B16" s="22" t="n">
        <v>42470</v>
      </c>
      <c r="C16">
        <f>TEXT(A16,"yyyy-mm")</f>
        <v/>
      </c>
      <c r="D16" s="20" t="n">
        <v>2.06121</v>
      </c>
      <c r="F16" s="22" t="n">
        <v>42464</v>
      </c>
      <c r="G16" s="22" t="n">
        <v>42470</v>
      </c>
      <c r="H16">
        <f>TEXT(F16,"yyyy-mm")</f>
        <v/>
      </c>
      <c r="I16" s="20" t="n">
        <v>2.02244</v>
      </c>
    </row>
    <row r="17">
      <c r="A17" s="22" t="n">
        <v>42471</v>
      </c>
      <c r="B17" s="22" t="n">
        <v>42477</v>
      </c>
      <c r="C17">
        <f>TEXT(A17,"yyyy-mm")</f>
        <v/>
      </c>
      <c r="D17" s="20" t="n">
        <v>2.0624</v>
      </c>
      <c r="F17" s="22" t="n">
        <v>42471</v>
      </c>
      <c r="G17" s="22" t="n">
        <v>42477</v>
      </c>
      <c r="H17">
        <f>TEXT(F17,"yyyy-mm")</f>
        <v/>
      </c>
      <c r="I17" s="20" t="n">
        <v>2.02739</v>
      </c>
    </row>
    <row r="18">
      <c r="A18" s="22" t="n">
        <v>42478</v>
      </c>
      <c r="B18" s="22" t="n">
        <v>42484</v>
      </c>
      <c r="C18">
        <f>TEXT(A18,"yyyy-mm")</f>
        <v/>
      </c>
      <c r="D18" s="20" t="n">
        <v>2.06481</v>
      </c>
      <c r="F18" s="22" t="n">
        <v>42478</v>
      </c>
      <c r="G18" s="22" t="n">
        <v>42484</v>
      </c>
      <c r="H18">
        <f>TEXT(F18,"yyyy-mm")</f>
        <v/>
      </c>
      <c r="I18" s="20" t="n">
        <v>2.02391</v>
      </c>
    </row>
    <row r="19">
      <c r="A19" s="22" t="n">
        <v>42506</v>
      </c>
      <c r="B19" s="22" t="n">
        <v>42512</v>
      </c>
      <c r="C19">
        <f>TEXT(A19,"yyyy-mm")</f>
        <v/>
      </c>
      <c r="D19" s="20" t="n">
        <v>2.066776640591653</v>
      </c>
      <c r="F19" s="22" t="n">
        <v>42485</v>
      </c>
      <c r="G19" s="22" t="n">
        <v>42491</v>
      </c>
      <c r="H19">
        <f>TEXT(F19,"yyyy-mm")</f>
        <v/>
      </c>
      <c r="I19" s="20" t="n">
        <v>2.02402</v>
      </c>
    </row>
    <row r="20">
      <c r="A20" s="22" t="n">
        <v>42513</v>
      </c>
      <c r="B20" s="22" t="n">
        <v>42519</v>
      </c>
      <c r="C20">
        <f>TEXT(A20,"yyyy-mm")</f>
        <v/>
      </c>
      <c r="D20" s="20" t="n">
        <v>2.060812532849357</v>
      </c>
      <c r="F20" s="22" t="n">
        <v>42492</v>
      </c>
      <c r="G20" s="22" t="n">
        <v>42498</v>
      </c>
      <c r="H20">
        <f>TEXT(F20,"yyyy-mm")</f>
        <v/>
      </c>
      <c r="I20" s="20" t="n">
        <v>2.03062</v>
      </c>
    </row>
    <row r="21">
      <c r="A21" s="22" t="n">
        <v>42520</v>
      </c>
      <c r="B21" s="22" t="n">
        <v>42526</v>
      </c>
      <c r="C21">
        <f>TEXT(A21,"yyyy-mm")</f>
        <v/>
      </c>
      <c r="D21" s="20" t="n">
        <v>2.06606</v>
      </c>
      <c r="F21" s="22" t="n">
        <v>42499</v>
      </c>
      <c r="G21" s="22" t="n">
        <v>42505</v>
      </c>
      <c r="H21">
        <f>TEXT(F21,"yyyy-mm")</f>
        <v/>
      </c>
      <c r="I21" s="20" t="n">
        <v>2.02137</v>
      </c>
    </row>
    <row r="22">
      <c r="A22" s="22" t="n">
        <v>42527</v>
      </c>
      <c r="B22" s="22" t="n">
        <v>42533</v>
      </c>
      <c r="C22">
        <f>TEXT(A22,"yyyy-mm")</f>
        <v/>
      </c>
      <c r="D22" s="20" t="n">
        <v>2.06186</v>
      </c>
      <c r="F22" s="22" t="n">
        <v>42506</v>
      </c>
      <c r="G22" s="22" t="n">
        <v>42512</v>
      </c>
      <c r="H22">
        <f>TEXT(F22,"yyyy-mm")</f>
        <v/>
      </c>
      <c r="I22" s="20" t="n">
        <v>2.02184</v>
      </c>
    </row>
    <row r="23">
      <c r="A23" s="22" t="n">
        <v>42534</v>
      </c>
      <c r="B23" s="22" t="n">
        <v>42540</v>
      </c>
      <c r="C23">
        <f>TEXT(A23,"yyyy-mm")</f>
        <v/>
      </c>
      <c r="D23" s="20" t="n">
        <v>2.06513</v>
      </c>
      <c r="F23" s="22" t="n">
        <v>42513</v>
      </c>
      <c r="G23" s="22" t="n">
        <v>42519</v>
      </c>
      <c r="H23">
        <f>TEXT(F23,"yyyy-mm")</f>
        <v/>
      </c>
      <c r="I23" s="20" t="n">
        <v>2.02515</v>
      </c>
    </row>
    <row r="24">
      <c r="A24" s="22" t="n">
        <v>42541</v>
      </c>
      <c r="B24" s="22" t="n">
        <v>42547</v>
      </c>
      <c r="C24">
        <f>TEXT(A24,"yyyy-mm")</f>
        <v/>
      </c>
      <c r="D24" s="20" t="n">
        <v>2.06552</v>
      </c>
      <c r="F24" s="22" t="n">
        <v>42520</v>
      </c>
      <c r="G24" s="22" t="n">
        <v>42526</v>
      </c>
      <c r="H24">
        <f>TEXT(F24,"yyyy-mm")</f>
        <v/>
      </c>
      <c r="I24" s="20" t="n">
        <v>2.02023</v>
      </c>
    </row>
    <row r="25">
      <c r="A25" s="22" t="n">
        <v>42548</v>
      </c>
      <c r="B25" s="22" t="n">
        <v>42554</v>
      </c>
      <c r="C25">
        <f>TEXT(A25,"yyyy-mm")</f>
        <v/>
      </c>
      <c r="D25" s="20" t="n">
        <v>2.06545</v>
      </c>
      <c r="F25" s="22" t="n">
        <v>42527</v>
      </c>
      <c r="G25" s="22" t="n">
        <v>42533</v>
      </c>
      <c r="H25">
        <f>TEXT(F25,"yyyy-mm")</f>
        <v/>
      </c>
      <c r="I25" s="20" t="n">
        <v>2.02744</v>
      </c>
    </row>
    <row r="26">
      <c r="A26" s="22" t="n">
        <v>42555</v>
      </c>
      <c r="B26" s="22" t="n">
        <v>42561</v>
      </c>
      <c r="C26">
        <f>TEXT(A26,"yyyy-mm")</f>
        <v/>
      </c>
      <c r="D26" s="20" t="n">
        <v>2.06591</v>
      </c>
      <c r="F26" s="22" t="n">
        <v>42534</v>
      </c>
      <c r="G26" s="22" t="n">
        <v>42540</v>
      </c>
      <c r="H26">
        <f>TEXT(F26,"yyyy-mm")</f>
        <v/>
      </c>
      <c r="I26" s="20" t="n">
        <v>2.02364</v>
      </c>
    </row>
    <row r="27">
      <c r="A27" s="22" t="n">
        <v>42562</v>
      </c>
      <c r="B27" s="22" t="n">
        <v>42568</v>
      </c>
      <c r="C27">
        <f>TEXT(A27,"yyyy-mm")</f>
        <v/>
      </c>
      <c r="D27" s="20" t="n">
        <v>2.06417</v>
      </c>
      <c r="F27" s="22" t="n">
        <v>42541</v>
      </c>
      <c r="G27" s="22" t="n">
        <v>42547</v>
      </c>
      <c r="H27">
        <f>TEXT(F27,"yyyy-mm")</f>
        <v/>
      </c>
      <c r="I27" s="20" t="n">
        <v>2.02362</v>
      </c>
    </row>
    <row r="28">
      <c r="A28" s="22" t="n">
        <v>42569</v>
      </c>
      <c r="B28" s="22" t="n">
        <v>42575</v>
      </c>
      <c r="C28">
        <f>TEXT(A28,"yyyy-mm")</f>
        <v/>
      </c>
      <c r="D28" s="20" t="n">
        <v>2.06559</v>
      </c>
      <c r="F28" s="22" t="n">
        <v>42548</v>
      </c>
      <c r="G28" s="22" t="n">
        <v>42554</v>
      </c>
      <c r="H28">
        <f>TEXT(F28,"yyyy-mm")</f>
        <v/>
      </c>
      <c r="I28" s="20" t="n">
        <v>2.02742</v>
      </c>
    </row>
    <row r="29">
      <c r="A29" s="22" t="n">
        <v>42576</v>
      </c>
      <c r="B29" s="22" t="n">
        <v>42582</v>
      </c>
      <c r="C29">
        <f>TEXT(A29,"yyyy-mm")</f>
        <v/>
      </c>
      <c r="D29" s="20" t="n">
        <v>2.067537004738406</v>
      </c>
      <c r="F29" s="22" t="n">
        <v>42555</v>
      </c>
      <c r="G29" s="22" t="n">
        <v>42561</v>
      </c>
      <c r="H29">
        <f>TEXT(F29,"yyyy-mm")</f>
        <v/>
      </c>
      <c r="I29" s="20" t="n">
        <v>2.02481</v>
      </c>
    </row>
    <row r="30">
      <c r="A30" s="22" t="n">
        <v>42583</v>
      </c>
      <c r="B30" s="22" t="n">
        <v>42589</v>
      </c>
      <c r="C30">
        <f>TEXT(A30,"yyyy-mm")</f>
        <v/>
      </c>
      <c r="D30" s="20" t="n">
        <v>2.066348211565032</v>
      </c>
      <c r="F30" s="22" t="n">
        <v>42562</v>
      </c>
      <c r="G30" s="22" t="n">
        <v>42568</v>
      </c>
      <c r="H30">
        <f>TEXT(F30,"yyyy-mm")</f>
        <v/>
      </c>
      <c r="I30" s="20" t="n">
        <v>2.03001</v>
      </c>
    </row>
    <row r="31">
      <c r="A31" s="22" t="n">
        <v>42590</v>
      </c>
      <c r="B31" s="22" t="n">
        <v>42596</v>
      </c>
      <c r="C31">
        <f>TEXT(A31,"yyyy-mm")</f>
        <v/>
      </c>
      <c r="D31" s="20" t="n">
        <v>2.05278</v>
      </c>
      <c r="F31" s="22" t="n">
        <v>42569</v>
      </c>
      <c r="G31" s="22" t="n">
        <v>42575</v>
      </c>
      <c r="H31">
        <f>TEXT(F31,"yyyy-mm")</f>
        <v/>
      </c>
      <c r="I31" s="20" t="n">
        <v>2.02201</v>
      </c>
    </row>
    <row r="32">
      <c r="A32" s="22" t="n">
        <v>42597</v>
      </c>
      <c r="B32" s="22" t="n">
        <v>42603</v>
      </c>
      <c r="C32">
        <f>TEXT(A32,"yyyy-mm")</f>
        <v/>
      </c>
      <c r="D32" s="20" t="n">
        <v>2.05407</v>
      </c>
      <c r="F32" s="22" t="n">
        <v>42576</v>
      </c>
      <c r="G32" s="22" t="n">
        <v>42582</v>
      </c>
      <c r="H32">
        <f>TEXT(F32,"yyyy-mm")</f>
        <v/>
      </c>
      <c r="I32" s="20" t="n">
        <v>2.02578</v>
      </c>
    </row>
    <row r="33">
      <c r="A33" s="22" t="n">
        <v>42604</v>
      </c>
      <c r="B33" s="22" t="n">
        <v>42610</v>
      </c>
      <c r="C33">
        <f>TEXT(A33,"yyyy-mm")</f>
        <v/>
      </c>
      <c r="D33" s="20" t="n">
        <v>2.05012</v>
      </c>
      <c r="F33" s="22" t="n">
        <v>42583</v>
      </c>
      <c r="G33" s="22" t="n">
        <v>42589</v>
      </c>
      <c r="H33">
        <f>TEXT(F33,"yyyy-mm")</f>
        <v/>
      </c>
      <c r="I33" s="20" t="n">
        <v>2.02664</v>
      </c>
    </row>
    <row r="34">
      <c r="A34" s="22" t="n">
        <v>42611</v>
      </c>
      <c r="B34" s="22" t="n">
        <v>42617</v>
      </c>
      <c r="C34">
        <f>TEXT(A34,"yyyy-mm")</f>
        <v/>
      </c>
      <c r="D34" s="20" t="n">
        <v>2.06446</v>
      </c>
      <c r="F34" s="22" t="n">
        <v>42590</v>
      </c>
      <c r="G34" s="22" t="n">
        <v>42596</v>
      </c>
      <c r="H34">
        <f>TEXT(F34,"yyyy-mm")</f>
        <v/>
      </c>
      <c r="I34" s="20" t="n">
        <v>2.02617</v>
      </c>
    </row>
    <row r="35">
      <c r="A35" s="22" t="n">
        <v>42618</v>
      </c>
      <c r="B35" s="22" t="n">
        <v>42624</v>
      </c>
      <c r="C35">
        <f>TEXT(A35,"yyyy-mm")</f>
        <v/>
      </c>
      <c r="D35" s="20" t="n">
        <v>2.05229</v>
      </c>
      <c r="F35" s="22" t="n">
        <v>42597</v>
      </c>
      <c r="G35" s="22" t="n">
        <v>42603</v>
      </c>
      <c r="H35">
        <f>TEXT(F35,"yyyy-mm")</f>
        <v/>
      </c>
      <c r="I35" s="20" t="n">
        <v>2.03069</v>
      </c>
    </row>
    <row r="36">
      <c r="A36" s="22" t="n">
        <v>42625</v>
      </c>
      <c r="B36" s="22" t="n">
        <v>42631</v>
      </c>
      <c r="C36">
        <f>TEXT(A36,"yyyy-mm")</f>
        <v/>
      </c>
      <c r="D36" s="20" t="n">
        <v>2.064</v>
      </c>
      <c r="F36" s="22" t="n">
        <v>42604</v>
      </c>
      <c r="G36" s="22" t="n">
        <v>42610</v>
      </c>
      <c r="H36">
        <f>TEXT(F36,"yyyy-mm")</f>
        <v/>
      </c>
      <c r="I36" s="20" t="n">
        <v>2.0228</v>
      </c>
    </row>
    <row r="37">
      <c r="A37" s="22" t="n">
        <v>42632</v>
      </c>
      <c r="B37" s="22" t="n">
        <v>42638</v>
      </c>
      <c r="C37">
        <f>TEXT(A37,"yyyy-mm")</f>
        <v/>
      </c>
      <c r="D37" s="20" t="n">
        <v>2.0659</v>
      </c>
      <c r="F37" s="22" t="n">
        <v>42611</v>
      </c>
      <c r="G37" s="22" t="n">
        <v>42617</v>
      </c>
      <c r="H37">
        <f>TEXT(F37,"yyyy-mm")</f>
        <v/>
      </c>
      <c r="I37" s="20" t="n">
        <v>2.02628</v>
      </c>
    </row>
    <row r="38">
      <c r="A38" s="22" t="n">
        <v>42639</v>
      </c>
      <c r="B38" s="22" t="n">
        <v>42645</v>
      </c>
      <c r="C38">
        <f>TEXT(A38,"yyyy-mm")</f>
        <v/>
      </c>
      <c r="D38" s="20" t="n">
        <v>2.0609</v>
      </c>
      <c r="F38" s="22" t="n">
        <v>42618</v>
      </c>
      <c r="G38" s="22" t="n">
        <v>42624</v>
      </c>
      <c r="H38">
        <f>TEXT(F38,"yyyy-mm")</f>
        <v/>
      </c>
      <c r="I38" s="20" t="n">
        <v>2.02901</v>
      </c>
    </row>
    <row r="39">
      <c r="A39" s="22" t="n">
        <v>42646</v>
      </c>
      <c r="B39" s="22" t="n">
        <v>42652</v>
      </c>
      <c r="C39">
        <f>TEXT(A39,"yyyy-mm")</f>
        <v/>
      </c>
      <c r="D39" s="20" t="n">
        <v>2.06324</v>
      </c>
      <c r="F39" s="22" t="n">
        <v>42625</v>
      </c>
      <c r="G39" s="22" t="n">
        <v>42631</v>
      </c>
      <c r="H39">
        <f>TEXT(F39,"yyyy-mm")</f>
        <v/>
      </c>
      <c r="I39" s="20" t="n">
        <v>2.02325</v>
      </c>
    </row>
    <row r="40">
      <c r="A40" s="22" t="n">
        <v>42653</v>
      </c>
      <c r="B40" s="22" t="n">
        <v>42659</v>
      </c>
      <c r="C40">
        <f>TEXT(A40,"yyyy-mm")</f>
        <v/>
      </c>
      <c r="D40" s="20" t="n">
        <v>2.0543</v>
      </c>
      <c r="F40" s="22" t="n">
        <v>42632</v>
      </c>
      <c r="G40" s="22" t="n">
        <v>42638</v>
      </c>
      <c r="H40">
        <f>TEXT(F40,"yyyy-mm")</f>
        <v/>
      </c>
      <c r="I40" s="20" t="n">
        <v>2.03216</v>
      </c>
    </row>
    <row r="41">
      <c r="A41" s="22" t="n">
        <v>42660</v>
      </c>
      <c r="B41" s="22" t="n">
        <v>42666</v>
      </c>
      <c r="C41">
        <f>TEXT(A41,"yyyy-mm")</f>
        <v/>
      </c>
      <c r="D41" s="20" t="n">
        <v>2.02025</v>
      </c>
      <c r="F41" s="22" t="n">
        <v>42639</v>
      </c>
      <c r="G41" s="22" t="n">
        <v>42645</v>
      </c>
      <c r="H41">
        <f>TEXT(F41,"yyyy-mm")</f>
        <v/>
      </c>
      <c r="I41" s="20" t="n">
        <v>2.0307</v>
      </c>
    </row>
    <row r="42">
      <c r="A42" s="22" t="n">
        <v>42667</v>
      </c>
      <c r="B42" s="22" t="n">
        <v>42673</v>
      </c>
      <c r="C42">
        <f>TEXT(A42,"yyyy-mm")</f>
        <v/>
      </c>
      <c r="D42" s="20" t="n">
        <v>2.01544</v>
      </c>
      <c r="F42" s="22" t="n">
        <v>42646</v>
      </c>
      <c r="G42" s="22" t="n">
        <v>42652</v>
      </c>
      <c r="H42">
        <f>TEXT(F42,"yyyy-mm")</f>
        <v/>
      </c>
      <c r="I42" s="20" t="n">
        <v>2.03221</v>
      </c>
    </row>
    <row r="43">
      <c r="A43" s="22" t="n">
        <v>42674</v>
      </c>
      <c r="B43" s="22" t="n">
        <v>42680</v>
      </c>
      <c r="C43">
        <f>TEXT(A43,"yyyy-mm")</f>
        <v/>
      </c>
      <c r="D43" s="20" t="n">
        <v>2.01709</v>
      </c>
      <c r="F43" s="22" t="n">
        <v>42653</v>
      </c>
      <c r="G43" s="22" t="n">
        <v>42659</v>
      </c>
      <c r="H43">
        <f>TEXT(F43,"yyyy-mm")</f>
        <v/>
      </c>
      <c r="I43" s="20" t="n">
        <v>2.0182</v>
      </c>
    </row>
    <row r="44">
      <c r="A44" s="22" t="n">
        <v>42681</v>
      </c>
      <c r="B44" s="22" t="n">
        <v>42687</v>
      </c>
      <c r="C44">
        <f>TEXT(A44,"yyyy-mm")</f>
        <v/>
      </c>
      <c r="D44" s="20" t="n">
        <v>1.89282</v>
      </c>
      <c r="F44" s="22" t="n">
        <v>42660</v>
      </c>
      <c r="G44" s="22" t="n">
        <v>42666</v>
      </c>
      <c r="H44">
        <f>TEXT(F44,"yyyy-mm")</f>
        <v/>
      </c>
      <c r="I44" s="20" t="n">
        <v>1.9782</v>
      </c>
    </row>
    <row r="45">
      <c r="A45" s="22" t="n">
        <v>42688</v>
      </c>
      <c r="B45" s="22" t="n">
        <v>42694</v>
      </c>
      <c r="C45">
        <f>TEXT(A45,"yyyy-mm")</f>
        <v/>
      </c>
      <c r="D45" s="20" t="n">
        <v>1.83562</v>
      </c>
      <c r="F45" s="22" t="n">
        <v>42667</v>
      </c>
      <c r="G45" s="22" t="n">
        <v>42673</v>
      </c>
      <c r="H45">
        <f>TEXT(F45,"yyyy-mm")</f>
        <v/>
      </c>
      <c r="I45" s="20" t="n">
        <v>1.97685</v>
      </c>
    </row>
    <row r="46">
      <c r="A46" s="22" t="n">
        <v>42695</v>
      </c>
      <c r="B46" s="22" t="n">
        <v>42701</v>
      </c>
      <c r="C46">
        <f>TEXT(A46,"yyyy-mm")</f>
        <v/>
      </c>
      <c r="D46" s="20" t="n">
        <v>1.83963</v>
      </c>
      <c r="F46" s="22" t="n">
        <v>42674</v>
      </c>
      <c r="G46" s="22" t="n">
        <v>42680</v>
      </c>
      <c r="H46">
        <f>TEXT(F46,"yyyy-mm")</f>
        <v/>
      </c>
      <c r="I46" s="20" t="n">
        <v>1.99062</v>
      </c>
    </row>
    <row r="47">
      <c r="A47" s="22" t="n">
        <v>42702</v>
      </c>
      <c r="B47" s="22" t="n">
        <v>42708</v>
      </c>
      <c r="C47">
        <f>TEXT(A47,"yyyy-mm")</f>
        <v/>
      </c>
      <c r="D47" s="20" t="n">
        <v>1.83408</v>
      </c>
      <c r="F47" s="22" t="n">
        <v>42681</v>
      </c>
      <c r="G47" s="22" t="n">
        <v>42687</v>
      </c>
      <c r="H47">
        <f>TEXT(F47,"yyyy-mm")</f>
        <v/>
      </c>
      <c r="I47" s="20" t="n">
        <v>1.94564</v>
      </c>
    </row>
    <row r="48">
      <c r="A48" s="22" t="n">
        <v>42709</v>
      </c>
      <c r="B48" s="22" t="n">
        <v>42715</v>
      </c>
      <c r="C48">
        <f>TEXT(A48,"yyyy-mm")</f>
        <v/>
      </c>
      <c r="D48" s="20" t="n">
        <v>1.96628</v>
      </c>
      <c r="F48" s="22" t="n">
        <v>42688</v>
      </c>
      <c r="G48" s="22" t="n">
        <v>42694</v>
      </c>
      <c r="H48">
        <f>TEXT(F48,"yyyy-mm")</f>
        <v/>
      </c>
      <c r="I48" s="20" t="n">
        <v>1.93068</v>
      </c>
    </row>
    <row r="49">
      <c r="A49" s="22" t="n">
        <v>42716</v>
      </c>
      <c r="B49" s="22" t="n">
        <v>42722</v>
      </c>
      <c r="C49">
        <f>TEXT(A49,"yyyy-mm")</f>
        <v/>
      </c>
      <c r="D49" s="20" t="n">
        <v>1.98195</v>
      </c>
      <c r="F49" s="22" t="n">
        <v>42695</v>
      </c>
      <c r="G49" s="22" t="n">
        <v>42701</v>
      </c>
      <c r="H49">
        <f>TEXT(F49,"yyyy-mm")</f>
        <v/>
      </c>
      <c r="I49" s="20" t="n">
        <v>1.9432</v>
      </c>
    </row>
    <row r="50">
      <c r="A50" s="22" t="n">
        <v>42723</v>
      </c>
      <c r="B50" s="22" t="n">
        <v>42729</v>
      </c>
      <c r="C50">
        <f>TEXT(A50,"yyyy-mm")</f>
        <v/>
      </c>
      <c r="D50" s="20" t="n">
        <v>1.99063</v>
      </c>
      <c r="F50" s="22" t="n">
        <v>42702</v>
      </c>
      <c r="G50" s="22" t="n">
        <v>42708</v>
      </c>
      <c r="H50">
        <f>TEXT(F50,"yyyy-mm")</f>
        <v/>
      </c>
      <c r="I50" s="20" t="n">
        <v>1.93229</v>
      </c>
    </row>
    <row r="51">
      <c r="A51" s="22" t="n">
        <v>42730</v>
      </c>
      <c r="B51" s="22" t="n">
        <v>42736</v>
      </c>
      <c r="C51">
        <f>TEXT(A51,"yyyy-mm")</f>
        <v/>
      </c>
      <c r="D51" s="20" t="n">
        <v>1.99272</v>
      </c>
      <c r="F51" s="22" t="n">
        <v>42709</v>
      </c>
      <c r="G51" s="22" t="n">
        <v>42715</v>
      </c>
      <c r="H51">
        <f>TEXT(F51,"yyyy-mm")</f>
        <v/>
      </c>
      <c r="I51" s="20" t="n">
        <v>2.03672</v>
      </c>
    </row>
    <row r="52">
      <c r="A52" s="22" t="n">
        <v>42737</v>
      </c>
      <c r="B52" s="22" t="n">
        <v>42743</v>
      </c>
      <c r="C52">
        <f>TEXT(A52,"yyyy-mm")</f>
        <v/>
      </c>
      <c r="D52" s="20" t="n">
        <v>2.01656</v>
      </c>
      <c r="F52" s="22" t="n">
        <v>42716</v>
      </c>
      <c r="G52" s="22" t="n">
        <v>42722</v>
      </c>
      <c r="H52">
        <f>TEXT(F52,"yyyy-mm")</f>
        <v/>
      </c>
      <c r="I52" s="20" t="n">
        <v>2.05079</v>
      </c>
    </row>
    <row r="53">
      <c r="A53" s="22" t="n">
        <v>42744</v>
      </c>
      <c r="B53" s="22" t="n">
        <v>42750</v>
      </c>
      <c r="C53">
        <f>TEXT(A53,"yyyy-mm")</f>
        <v/>
      </c>
      <c r="D53" s="20" t="n">
        <v>2.08826</v>
      </c>
      <c r="F53" s="22" t="n">
        <v>42723</v>
      </c>
      <c r="G53" s="22" t="n">
        <v>42729</v>
      </c>
      <c r="H53">
        <f>TEXT(F53,"yyyy-mm")</f>
        <v/>
      </c>
      <c r="I53" s="20" t="n">
        <v>2.06352</v>
      </c>
    </row>
    <row r="54">
      <c r="A54" s="22" t="n">
        <v>42751</v>
      </c>
      <c r="B54" s="22" t="n">
        <v>42757</v>
      </c>
      <c r="C54">
        <f>TEXT(A54,"yyyy-mm")</f>
        <v/>
      </c>
      <c r="D54" s="20" t="n">
        <v>2.08597</v>
      </c>
      <c r="F54" s="22" t="n">
        <v>42730</v>
      </c>
      <c r="G54" s="22" t="n">
        <v>42736</v>
      </c>
      <c r="H54">
        <f>TEXT(F54,"yyyy-mm")</f>
        <v/>
      </c>
      <c r="I54" s="20" t="n">
        <v>2.05361</v>
      </c>
    </row>
    <row r="55">
      <c r="A55" s="22" t="n">
        <v>42758</v>
      </c>
      <c r="B55" s="22" t="n">
        <v>42764</v>
      </c>
      <c r="C55">
        <f>TEXT(A55,"yyyy-mm")</f>
        <v/>
      </c>
      <c r="D55" s="20" t="n">
        <v>2.0626</v>
      </c>
      <c r="F55" s="22" t="n">
        <v>42737</v>
      </c>
      <c r="G55" s="22" t="n">
        <v>42743</v>
      </c>
      <c r="H55">
        <f>TEXT(F55,"yyyy-mm")</f>
        <v/>
      </c>
      <c r="I55" s="20" t="n">
        <v>2.05021</v>
      </c>
    </row>
    <row r="56">
      <c r="A56" s="22" t="n">
        <v>42765</v>
      </c>
      <c r="B56" s="22" t="n">
        <v>42771</v>
      </c>
      <c r="C56">
        <f>TEXT(A56,"yyyy-mm")</f>
        <v/>
      </c>
      <c r="D56" s="20" t="n">
        <v>2.00819</v>
      </c>
      <c r="F56" s="22" t="n">
        <v>42744</v>
      </c>
      <c r="G56" s="22" t="n">
        <v>42750</v>
      </c>
      <c r="H56">
        <f>TEXT(F56,"yyyy-mm")</f>
        <v/>
      </c>
      <c r="I56" s="20" t="n">
        <v>2.05469</v>
      </c>
    </row>
    <row r="57">
      <c r="A57" s="22" t="n">
        <v>42772</v>
      </c>
      <c r="B57" s="22" t="n">
        <v>42778</v>
      </c>
      <c r="C57">
        <f>TEXT(A57,"yyyy-mm")</f>
        <v/>
      </c>
      <c r="D57" s="20" t="n">
        <v>2.00287</v>
      </c>
      <c r="F57" s="22" t="n">
        <v>42751</v>
      </c>
      <c r="G57" s="22" t="n">
        <v>42757</v>
      </c>
      <c r="H57">
        <f>TEXT(F57,"yyyy-mm")</f>
        <v/>
      </c>
      <c r="I57" s="20" t="n">
        <v>2.05757</v>
      </c>
    </row>
    <row r="58">
      <c r="A58" s="22" t="n">
        <v>42779</v>
      </c>
      <c r="B58" s="22" t="n">
        <v>42785</v>
      </c>
      <c r="C58">
        <f>TEXT(A58,"yyyy-mm")</f>
        <v/>
      </c>
      <c r="D58" s="20" t="n">
        <v>2.01383</v>
      </c>
      <c r="F58" s="22" t="n">
        <v>42758</v>
      </c>
      <c r="G58" s="22" t="n">
        <v>42764</v>
      </c>
      <c r="H58">
        <f>TEXT(F58,"yyyy-mm")</f>
        <v/>
      </c>
      <c r="I58" s="20" t="n">
        <v>2.03615</v>
      </c>
    </row>
    <row r="59">
      <c r="A59" s="22" t="n">
        <v>42786</v>
      </c>
      <c r="B59" s="22" t="n">
        <v>42792</v>
      </c>
      <c r="C59">
        <f>TEXT(A59,"yyyy-mm")</f>
        <v/>
      </c>
      <c r="D59" s="20" t="n">
        <v>1.98684</v>
      </c>
      <c r="F59" s="22" t="n">
        <v>42765</v>
      </c>
      <c r="G59" s="22" t="n">
        <v>42771</v>
      </c>
      <c r="H59">
        <f>TEXT(F59,"yyyy-mm")</f>
        <v/>
      </c>
      <c r="I59" s="20" t="n">
        <v>2.03754</v>
      </c>
    </row>
    <row r="60">
      <c r="A60" s="22" t="n">
        <v>42793</v>
      </c>
      <c r="B60" s="22" t="n">
        <v>42799</v>
      </c>
      <c r="C60">
        <f>TEXT(A60,"yyyy-mm")</f>
        <v/>
      </c>
      <c r="D60" s="20" t="n">
        <v>1.92167</v>
      </c>
      <c r="F60" s="22" t="n">
        <v>42772</v>
      </c>
      <c r="G60" s="22" t="n">
        <v>42778</v>
      </c>
      <c r="H60">
        <f>TEXT(F60,"yyyy-mm")</f>
        <v/>
      </c>
      <c r="I60" s="20" t="n">
        <v>2.03198</v>
      </c>
    </row>
    <row r="61">
      <c r="A61" s="22" t="n">
        <v>42800</v>
      </c>
      <c r="B61" s="22" t="n">
        <v>42806</v>
      </c>
      <c r="C61">
        <f>TEXT(A61,"yyyy-mm")</f>
        <v/>
      </c>
      <c r="D61" s="20" t="n">
        <v>1.92308</v>
      </c>
      <c r="F61" s="22" t="n">
        <v>42779</v>
      </c>
      <c r="G61" s="22" t="n">
        <v>42785</v>
      </c>
      <c r="H61">
        <f>TEXT(F61,"yyyy-mm")</f>
        <v/>
      </c>
      <c r="I61" s="20" t="n">
        <v>2.03089</v>
      </c>
    </row>
    <row r="62">
      <c r="A62" s="22" t="n">
        <v>42807</v>
      </c>
      <c r="B62" s="22" t="n">
        <v>42813</v>
      </c>
      <c r="C62">
        <f>TEXT(A62,"yyyy-mm")</f>
        <v/>
      </c>
      <c r="D62" s="20" t="n">
        <v>1.92853</v>
      </c>
      <c r="F62" s="22" t="n">
        <v>42786</v>
      </c>
      <c r="G62" s="22" t="n">
        <v>42792</v>
      </c>
      <c r="H62">
        <f>TEXT(F62,"yyyy-mm")</f>
        <v/>
      </c>
      <c r="I62" s="20" t="n">
        <v>2.00957</v>
      </c>
    </row>
    <row r="63">
      <c r="A63" s="22" t="n">
        <v>42814</v>
      </c>
      <c r="B63" s="22" t="n">
        <v>42820</v>
      </c>
      <c r="C63">
        <f>TEXT(A63,"yyyy-mm")</f>
        <v/>
      </c>
      <c r="D63" s="20" t="n">
        <v>1.92428</v>
      </c>
      <c r="F63" s="22" t="n">
        <v>42793</v>
      </c>
      <c r="G63" s="22" t="n">
        <v>42799</v>
      </c>
      <c r="H63">
        <f>TEXT(F63,"yyyy-mm")</f>
        <v/>
      </c>
      <c r="I63" s="20" t="n">
        <v>1.95482</v>
      </c>
    </row>
    <row r="64">
      <c r="A64" s="22" t="n">
        <v>42821</v>
      </c>
      <c r="B64" s="22" t="n">
        <v>42827</v>
      </c>
      <c r="C64">
        <f>TEXT(A64,"yyyy-mm")</f>
        <v/>
      </c>
      <c r="D64" s="20" t="n">
        <v>1.91956</v>
      </c>
      <c r="F64" s="22" t="n">
        <v>42800</v>
      </c>
      <c r="G64" s="22" t="n">
        <v>42806</v>
      </c>
      <c r="H64">
        <f>TEXT(F64,"yyyy-mm")</f>
        <v/>
      </c>
      <c r="I64" s="20" t="n">
        <v>1.95632</v>
      </c>
    </row>
    <row r="65">
      <c r="A65" s="22" t="n">
        <v>42828</v>
      </c>
      <c r="B65" s="22" t="n">
        <v>42834</v>
      </c>
      <c r="C65">
        <f>TEXT(A65,"yyyy-mm")</f>
        <v/>
      </c>
      <c r="D65" s="20" t="n">
        <v>1.9115</v>
      </c>
      <c r="F65" s="22" t="n">
        <v>42807</v>
      </c>
      <c r="G65" s="22" t="n">
        <v>42813</v>
      </c>
      <c r="H65">
        <f>TEXT(F65,"yyyy-mm")</f>
        <v/>
      </c>
      <c r="I65" s="20" t="n">
        <v>1.95247</v>
      </c>
    </row>
    <row r="66">
      <c r="A66" s="22" t="n">
        <v>42835</v>
      </c>
      <c r="B66" s="22" t="n">
        <v>42841</v>
      </c>
      <c r="C66">
        <f>TEXT(A66,"yyyy-mm")</f>
        <v/>
      </c>
      <c r="D66" s="20" t="n">
        <v>1.90962</v>
      </c>
      <c r="F66" s="22" t="n">
        <v>42814</v>
      </c>
      <c r="G66" s="22" t="n">
        <v>42820</v>
      </c>
      <c r="H66">
        <f>TEXT(F66,"yyyy-mm")</f>
        <v/>
      </c>
      <c r="I66" s="20" t="n">
        <v>1.95325</v>
      </c>
    </row>
    <row r="67">
      <c r="A67" s="22" t="n">
        <v>42842</v>
      </c>
      <c r="B67" s="22" t="n">
        <v>42848</v>
      </c>
      <c r="C67">
        <f>TEXT(A67,"yyyy-mm")</f>
        <v/>
      </c>
      <c r="D67" s="20" t="n">
        <v>1.95019</v>
      </c>
      <c r="F67" s="22" t="n">
        <v>42821</v>
      </c>
      <c r="G67" s="22" t="n">
        <v>42827</v>
      </c>
      <c r="H67">
        <f>TEXT(F67,"yyyy-mm")</f>
        <v/>
      </c>
      <c r="I67" s="20" t="n">
        <v>1.94889</v>
      </c>
    </row>
    <row r="68">
      <c r="A68" s="22" t="n">
        <v>42849</v>
      </c>
      <c r="B68" s="22" t="n">
        <v>42855</v>
      </c>
      <c r="C68">
        <f>TEXT(A68,"yyyy-mm")</f>
        <v/>
      </c>
      <c r="D68" s="20" t="n">
        <v>1.99451</v>
      </c>
      <c r="F68" s="22" t="n">
        <v>42828</v>
      </c>
      <c r="G68" s="22" t="n">
        <v>42834</v>
      </c>
      <c r="H68">
        <f>TEXT(F68,"yyyy-mm")</f>
        <v/>
      </c>
      <c r="I68" s="20" t="n">
        <v>1.9467</v>
      </c>
    </row>
    <row r="69">
      <c r="A69" s="22" t="n">
        <v>42856</v>
      </c>
      <c r="B69" s="22" t="n">
        <v>42862</v>
      </c>
      <c r="C69">
        <f>TEXT(A69,"yyyy-mm")</f>
        <v/>
      </c>
      <c r="D69" s="20" t="n">
        <v>1.98446</v>
      </c>
      <c r="F69" s="22" t="n">
        <v>42835</v>
      </c>
      <c r="G69" s="22" t="n">
        <v>42841</v>
      </c>
      <c r="H69">
        <f>TEXT(F69,"yyyy-mm")</f>
        <v/>
      </c>
      <c r="I69" s="20" t="n">
        <v>1.95245</v>
      </c>
    </row>
    <row r="70">
      <c r="A70" s="22" t="n">
        <v>42863</v>
      </c>
      <c r="B70" s="22" t="n">
        <v>42869</v>
      </c>
      <c r="C70">
        <f>TEXT(A70,"yyyy-mm")</f>
        <v/>
      </c>
      <c r="D70" s="20" t="n">
        <v>1.98632</v>
      </c>
      <c r="F70" s="22" t="n">
        <v>42842</v>
      </c>
      <c r="G70" s="22" t="n">
        <v>42848</v>
      </c>
      <c r="H70">
        <f>TEXT(F70,"yyyy-mm")</f>
        <v/>
      </c>
      <c r="I70" s="20" t="n">
        <v>1.94563</v>
      </c>
    </row>
    <row r="71">
      <c r="A71" s="22" t="n">
        <v>42870</v>
      </c>
      <c r="B71" s="22" t="n">
        <v>42876</v>
      </c>
      <c r="C71">
        <f>TEXT(A71,"yyyy-mm")</f>
        <v/>
      </c>
      <c r="D71" s="20" t="n">
        <v>2.00741</v>
      </c>
      <c r="F71" s="22" t="n">
        <v>42849</v>
      </c>
      <c r="G71" s="22" t="n">
        <v>42855</v>
      </c>
      <c r="H71">
        <f>TEXT(F71,"yyyy-mm")</f>
        <v/>
      </c>
      <c r="I71" s="20" t="n">
        <v>1.99103</v>
      </c>
    </row>
    <row r="72">
      <c r="A72" s="22" t="n">
        <v>42877</v>
      </c>
      <c r="B72" s="22" t="n">
        <v>42883</v>
      </c>
      <c r="C72">
        <f>TEXT(A72,"yyyy-mm")</f>
        <v/>
      </c>
      <c r="D72" s="20" t="n">
        <v>1.95807</v>
      </c>
      <c r="F72" s="22" t="n">
        <v>42856</v>
      </c>
      <c r="G72" s="22" t="n">
        <v>42862</v>
      </c>
      <c r="H72">
        <f>TEXT(F72,"yyyy-mm")</f>
        <v/>
      </c>
      <c r="I72" s="20" t="n">
        <v>1.99226</v>
      </c>
    </row>
    <row r="73">
      <c r="A73" s="22" t="n">
        <v>42884</v>
      </c>
      <c r="B73" s="22" t="n">
        <v>42890</v>
      </c>
      <c r="C73">
        <f>TEXT(A73,"yyyy-mm")</f>
        <v/>
      </c>
      <c r="D73" s="20" t="n">
        <v>1.81271</v>
      </c>
      <c r="F73" s="22" t="n">
        <v>42863</v>
      </c>
      <c r="G73" s="22" t="n">
        <v>42869</v>
      </c>
      <c r="H73">
        <f>TEXT(F73,"yyyy-mm")</f>
        <v/>
      </c>
      <c r="I73" s="20" t="n">
        <v>1.98919</v>
      </c>
    </row>
    <row r="74">
      <c r="A74" s="22" t="n">
        <v>42891</v>
      </c>
      <c r="B74" s="22" t="n">
        <v>42897</v>
      </c>
      <c r="C74">
        <f>TEXT(A74,"yyyy-mm")</f>
        <v/>
      </c>
      <c r="D74" s="20" t="n">
        <v>1.9345</v>
      </c>
      <c r="F74" s="22" t="n">
        <v>42870</v>
      </c>
      <c r="G74" s="22" t="n">
        <v>42876</v>
      </c>
      <c r="H74">
        <f>TEXT(F74,"yyyy-mm")</f>
        <v/>
      </c>
      <c r="I74" s="20" t="n">
        <v>1.99105</v>
      </c>
    </row>
    <row r="75">
      <c r="A75" s="22" t="n">
        <v>42898</v>
      </c>
      <c r="B75" s="22" t="n">
        <v>42904</v>
      </c>
      <c r="C75">
        <f>TEXT(A75,"yyyy-mm")</f>
        <v/>
      </c>
      <c r="D75" s="20" t="n">
        <v>1.88585</v>
      </c>
      <c r="F75" s="22" t="n">
        <v>42877</v>
      </c>
      <c r="G75" s="22" t="n">
        <v>42883</v>
      </c>
      <c r="H75">
        <f>TEXT(F75,"yyyy-mm")</f>
        <v/>
      </c>
      <c r="I75" s="20" t="n">
        <v>1.95143</v>
      </c>
    </row>
    <row r="76">
      <c r="A76" s="22" t="n">
        <v>42905</v>
      </c>
      <c r="B76" s="22" t="n">
        <v>42911</v>
      </c>
      <c r="C76">
        <f>TEXT(A76,"yyyy-mm")</f>
        <v/>
      </c>
      <c r="D76" s="20" t="n">
        <v>1.83505</v>
      </c>
      <c r="F76" s="22" t="n">
        <v>42884</v>
      </c>
      <c r="G76" s="22" t="n">
        <v>42890</v>
      </c>
      <c r="H76">
        <f>TEXT(F76,"yyyy-mm")</f>
        <v/>
      </c>
      <c r="I76" s="20" t="n">
        <v>1.92078</v>
      </c>
    </row>
    <row r="77">
      <c r="A77" s="22" t="n">
        <v>42912</v>
      </c>
      <c r="B77" s="22" t="n">
        <v>42918</v>
      </c>
      <c r="C77">
        <f>TEXT(A77,"yyyy-mm")</f>
        <v/>
      </c>
      <c r="D77" s="20" t="n">
        <v>1.82384</v>
      </c>
      <c r="F77" s="22" t="n">
        <v>42891</v>
      </c>
      <c r="G77" s="22" t="n">
        <v>42897</v>
      </c>
      <c r="H77">
        <f>TEXT(F77,"yyyy-mm")</f>
        <v/>
      </c>
      <c r="I77" s="20" t="n">
        <v>1.90024</v>
      </c>
    </row>
    <row r="78">
      <c r="A78" s="22" t="n">
        <v>42919</v>
      </c>
      <c r="B78" s="22" t="n">
        <v>42925</v>
      </c>
      <c r="C78">
        <f>TEXT(A78,"yyyy-mm")</f>
        <v/>
      </c>
      <c r="D78" s="20" t="n">
        <v>1.79862</v>
      </c>
      <c r="F78" s="22" t="n">
        <v>42898</v>
      </c>
      <c r="G78" s="22" t="n">
        <v>42904</v>
      </c>
      <c r="H78">
        <f>TEXT(F78,"yyyy-mm")</f>
        <v/>
      </c>
      <c r="I78" s="20" t="n">
        <v>1.897</v>
      </c>
    </row>
    <row r="79">
      <c r="A79" s="22" t="n">
        <v>42926</v>
      </c>
      <c r="B79" s="22" t="n">
        <v>42932</v>
      </c>
      <c r="C79">
        <f>TEXT(A79,"yyyy-mm")</f>
        <v/>
      </c>
      <c r="D79" s="20" t="n">
        <v>1.776</v>
      </c>
      <c r="F79" s="22" t="n">
        <v>42905</v>
      </c>
      <c r="G79" s="22" t="n">
        <v>42911</v>
      </c>
      <c r="H79">
        <f>TEXT(F79,"yyyy-mm")</f>
        <v/>
      </c>
      <c r="I79" s="20" t="n">
        <v>1.88046</v>
      </c>
    </row>
    <row r="80">
      <c r="A80" s="22" t="n">
        <v>42933</v>
      </c>
      <c r="B80" s="22" t="n">
        <v>42939</v>
      </c>
      <c r="C80">
        <f>TEXT(A80,"yyyy-mm")</f>
        <v/>
      </c>
      <c r="D80" s="20" t="n">
        <v>1.84803</v>
      </c>
      <c r="F80" s="22" t="n">
        <v>42912</v>
      </c>
      <c r="G80" s="22" t="n">
        <v>42918</v>
      </c>
      <c r="H80">
        <f>TEXT(F80,"yyyy-mm")</f>
        <v/>
      </c>
      <c r="I80" s="20" t="n">
        <v>1.85636</v>
      </c>
    </row>
    <row r="81">
      <c r="A81" s="22" t="n">
        <v>42940</v>
      </c>
      <c r="B81" s="22" t="n">
        <v>42946</v>
      </c>
      <c r="C81">
        <f>TEXT(A81,"yyyy-mm")</f>
        <v/>
      </c>
      <c r="D81" s="20" t="n">
        <v>2.01889</v>
      </c>
      <c r="F81" s="22" t="n">
        <v>42919</v>
      </c>
      <c r="G81" s="22" t="n">
        <v>42925</v>
      </c>
      <c r="H81">
        <f>TEXT(F81,"yyyy-mm")</f>
        <v/>
      </c>
      <c r="I81" s="20" t="n">
        <v>1.83141</v>
      </c>
    </row>
    <row r="82">
      <c r="A82" s="22" t="n">
        <v>42947</v>
      </c>
      <c r="B82" s="22" t="n">
        <v>42953</v>
      </c>
      <c r="C82">
        <f>TEXT(A82,"yyyy-mm")</f>
        <v/>
      </c>
      <c r="D82" s="20" t="n">
        <v>2.08863</v>
      </c>
      <c r="F82" s="22" t="n">
        <v>42926</v>
      </c>
      <c r="G82" s="22" t="n">
        <v>42932</v>
      </c>
      <c r="H82">
        <f>TEXT(F82,"yyyy-mm")</f>
        <v/>
      </c>
      <c r="I82" s="20" t="n">
        <v>1.76797</v>
      </c>
    </row>
    <row r="83">
      <c r="A83" s="22" t="n">
        <v>42954</v>
      </c>
      <c r="B83" s="22" t="n">
        <v>42960</v>
      </c>
      <c r="C83">
        <f>TEXT(A83,"yyyy-mm")</f>
        <v/>
      </c>
      <c r="D83" s="20" t="n">
        <v>2.08449</v>
      </c>
      <c r="F83" s="22" t="n">
        <v>42933</v>
      </c>
      <c r="G83" s="22" t="n">
        <v>42939</v>
      </c>
      <c r="H83">
        <f>TEXT(F83,"yyyy-mm")</f>
        <v/>
      </c>
      <c r="I83" s="20" t="n">
        <v>1.93727</v>
      </c>
    </row>
    <row r="84">
      <c r="A84" s="22" t="n">
        <v>42961</v>
      </c>
      <c r="B84" s="22" t="n">
        <v>42967</v>
      </c>
      <c r="C84">
        <f>TEXT(A84,"yyyy-mm")</f>
        <v/>
      </c>
      <c r="D84" s="20" t="n">
        <v>2.07815</v>
      </c>
      <c r="F84" s="22" t="n">
        <v>42940</v>
      </c>
      <c r="G84" s="22" t="n">
        <v>42946</v>
      </c>
      <c r="H84">
        <f>TEXT(F84,"yyyy-mm")</f>
        <v/>
      </c>
      <c r="I84" s="20" t="n">
        <v>2.18965</v>
      </c>
    </row>
    <row r="85">
      <c r="A85" s="22" t="n">
        <v>42968</v>
      </c>
      <c r="B85" s="22" t="n">
        <v>42974</v>
      </c>
      <c r="C85">
        <f>TEXT(A85,"yyyy-mm")</f>
        <v/>
      </c>
      <c r="D85" s="20" t="n">
        <v>2.06634</v>
      </c>
      <c r="F85" s="22" t="n">
        <v>42947</v>
      </c>
      <c r="G85" s="22" t="n">
        <v>42953</v>
      </c>
      <c r="H85">
        <f>TEXT(F85,"yyyy-mm")</f>
        <v/>
      </c>
      <c r="I85" s="20" t="n">
        <v>2.24015</v>
      </c>
    </row>
    <row r="86">
      <c r="A86" s="22" t="n">
        <v>42975</v>
      </c>
      <c r="B86" s="22" t="n">
        <v>42981</v>
      </c>
      <c r="C86">
        <f>TEXT(A86,"yyyy-mm")</f>
        <v/>
      </c>
      <c r="D86" s="20" t="n">
        <v>2.14936</v>
      </c>
      <c r="F86" s="22" t="n">
        <v>42954</v>
      </c>
      <c r="G86" s="22" t="n">
        <v>42960</v>
      </c>
      <c r="H86">
        <f>TEXT(F86,"yyyy-mm")</f>
        <v/>
      </c>
      <c r="I86" s="20" t="n">
        <v>2.27272</v>
      </c>
    </row>
    <row r="87">
      <c r="A87" s="22" t="n">
        <v>42982</v>
      </c>
      <c r="B87" s="22" t="n">
        <v>42988</v>
      </c>
      <c r="C87">
        <f>TEXT(A87,"yyyy-mm")</f>
        <v/>
      </c>
      <c r="D87" s="20" t="n">
        <v>2.25357</v>
      </c>
      <c r="F87" s="22" t="n">
        <v>42961</v>
      </c>
      <c r="G87" s="22" t="n">
        <v>42967</v>
      </c>
      <c r="H87">
        <f>TEXT(F87,"yyyy-mm")</f>
        <v/>
      </c>
      <c r="I87" s="20" t="n">
        <v>2.24849</v>
      </c>
    </row>
    <row r="88">
      <c r="A88" s="22" t="n">
        <v>42989</v>
      </c>
      <c r="B88" s="22" t="n">
        <v>42995</v>
      </c>
      <c r="C88">
        <f>TEXT(A88,"yyyy-mm")</f>
        <v/>
      </c>
      <c r="D88" s="20" t="n">
        <v>2.24572</v>
      </c>
      <c r="F88" s="22" t="n">
        <v>42968</v>
      </c>
      <c r="G88" s="22" t="n">
        <v>42974</v>
      </c>
      <c r="H88">
        <f>TEXT(F88,"yyyy-mm")</f>
        <v/>
      </c>
      <c r="I88" s="20" t="n">
        <v>2.24212</v>
      </c>
    </row>
    <row r="89">
      <c r="A89" s="22" t="n">
        <v>42996</v>
      </c>
      <c r="B89" s="22" t="n">
        <v>43002</v>
      </c>
      <c r="C89">
        <f>TEXT(A89,"yyyy-mm")</f>
        <v/>
      </c>
      <c r="D89" s="20" t="n">
        <v>2.26016</v>
      </c>
      <c r="F89" s="22" t="n">
        <v>42975</v>
      </c>
      <c r="G89" s="22" t="n">
        <v>42981</v>
      </c>
      <c r="H89">
        <f>TEXT(F89,"yyyy-mm")</f>
        <v/>
      </c>
      <c r="I89" s="20" t="n">
        <v>2.33027</v>
      </c>
    </row>
    <row r="90">
      <c r="A90" s="22" t="n">
        <v>43003</v>
      </c>
      <c r="B90" s="22" t="n">
        <v>43009</v>
      </c>
      <c r="C90">
        <f>TEXT(A90,"yyyy-mm")</f>
        <v/>
      </c>
      <c r="D90" s="20" t="n">
        <v>2.27952</v>
      </c>
      <c r="F90" s="22" t="n">
        <v>42982</v>
      </c>
      <c r="G90" s="22" t="n">
        <v>42988</v>
      </c>
      <c r="H90">
        <f>TEXT(F90,"yyyy-mm")</f>
        <v/>
      </c>
      <c r="I90" s="20" t="n">
        <v>2.39285</v>
      </c>
    </row>
    <row r="91">
      <c r="A91" s="22" t="n">
        <v>43010</v>
      </c>
      <c r="B91" s="22" t="n">
        <v>43016</v>
      </c>
      <c r="C91">
        <f>TEXT(A91,"yyyy-mm")</f>
        <v/>
      </c>
      <c r="D91" s="20" t="n">
        <v>2.22802</v>
      </c>
      <c r="F91" s="22" t="n">
        <v>42989</v>
      </c>
      <c r="G91" s="22" t="n">
        <v>42995</v>
      </c>
      <c r="H91">
        <f>TEXT(F91,"yyyy-mm")</f>
        <v/>
      </c>
      <c r="I91" s="20" t="n">
        <v>2.36928</v>
      </c>
    </row>
    <row r="92">
      <c r="A92" s="22" t="n">
        <v>43017</v>
      </c>
      <c r="B92" s="22" t="n">
        <v>43023</v>
      </c>
      <c r="C92">
        <f>TEXT(A92,"yyyy-mm")</f>
        <v/>
      </c>
      <c r="D92" s="20" t="n">
        <v>2.18305</v>
      </c>
      <c r="F92" s="22" t="n">
        <v>42996</v>
      </c>
      <c r="G92" s="22" t="n">
        <v>43002</v>
      </c>
      <c r="H92">
        <f>TEXT(F92,"yyyy-mm")</f>
        <v/>
      </c>
      <c r="I92" s="20" t="n">
        <v>2.34865</v>
      </c>
    </row>
    <row r="93">
      <c r="A93" s="22" t="n">
        <v>43024</v>
      </c>
      <c r="B93" s="22" t="n">
        <v>43030</v>
      </c>
      <c r="C93">
        <f>TEXT(A93,"yyyy-mm")</f>
        <v/>
      </c>
      <c r="D93" s="20" t="n">
        <v>2.2286</v>
      </c>
      <c r="F93" s="22" t="n">
        <v>43003</v>
      </c>
      <c r="G93" s="22" t="n">
        <v>43009</v>
      </c>
      <c r="H93">
        <f>TEXT(F93,"yyyy-mm")</f>
        <v/>
      </c>
      <c r="I93" s="20" t="n">
        <v>2.3345</v>
      </c>
    </row>
    <row r="94">
      <c r="A94" s="22" t="n">
        <v>43031</v>
      </c>
      <c r="B94" s="22" t="n">
        <v>43037</v>
      </c>
      <c r="C94">
        <f>TEXT(A94,"yyyy-mm")</f>
        <v/>
      </c>
      <c r="D94" s="20" t="n">
        <v>2.24083</v>
      </c>
      <c r="F94" s="22" t="n">
        <v>43010</v>
      </c>
      <c r="G94" s="22" t="n">
        <v>43016</v>
      </c>
      <c r="H94">
        <f>TEXT(F94,"yyyy-mm")</f>
        <v/>
      </c>
      <c r="I94" s="20" t="n">
        <v>2.286</v>
      </c>
    </row>
    <row r="95">
      <c r="A95" s="22" t="n">
        <v>43038</v>
      </c>
      <c r="B95" s="22" t="n">
        <v>43044</v>
      </c>
      <c r="C95">
        <f>TEXT(A95,"yyyy-mm")</f>
        <v/>
      </c>
      <c r="D95" s="20" t="n">
        <v>2.33416</v>
      </c>
      <c r="F95" s="22" t="n">
        <v>43017</v>
      </c>
      <c r="G95" s="22" t="n">
        <v>43023</v>
      </c>
      <c r="H95">
        <f>TEXT(F95,"yyyy-mm")</f>
        <v/>
      </c>
      <c r="I95" s="20" t="n">
        <v>2.30738</v>
      </c>
    </row>
    <row r="96">
      <c r="A96" s="22" t="n">
        <v>43045</v>
      </c>
      <c r="B96" s="22" t="n">
        <v>43051</v>
      </c>
      <c r="C96">
        <f>TEXT(A96,"yyyy-mm")</f>
        <v/>
      </c>
      <c r="D96" s="20" t="n">
        <v>2.36473</v>
      </c>
      <c r="F96" s="22" t="n">
        <v>43024</v>
      </c>
      <c r="G96" s="22" t="n">
        <v>43030</v>
      </c>
      <c r="H96">
        <f>TEXT(F96,"yyyy-mm")</f>
        <v/>
      </c>
      <c r="I96" s="20" t="n">
        <v>2.32959</v>
      </c>
    </row>
    <row r="97">
      <c r="A97" s="22" t="n">
        <v>43052</v>
      </c>
      <c r="B97" s="22" t="n">
        <v>43058</v>
      </c>
      <c r="C97">
        <f>TEXT(A97,"yyyy-mm")</f>
        <v/>
      </c>
      <c r="D97" s="20" t="n">
        <v>2.37081</v>
      </c>
      <c r="F97" s="22" t="n">
        <v>43031</v>
      </c>
      <c r="G97" s="22" t="n">
        <v>43037</v>
      </c>
      <c r="H97">
        <f>TEXT(F97,"yyyy-mm")</f>
        <v/>
      </c>
      <c r="I97" s="20" t="n">
        <v>2.37708</v>
      </c>
    </row>
    <row r="98">
      <c r="A98" s="22" t="n">
        <v>43059</v>
      </c>
      <c r="B98" s="22" t="n">
        <v>43065</v>
      </c>
      <c r="C98">
        <f>TEXT(A98,"yyyy-mm")</f>
        <v/>
      </c>
      <c r="D98" s="20" t="n">
        <v>2.37175</v>
      </c>
      <c r="F98" s="22" t="n">
        <v>43038</v>
      </c>
      <c r="G98" s="22" t="n">
        <v>43044</v>
      </c>
      <c r="H98">
        <f>TEXT(F98,"yyyy-mm")</f>
        <v/>
      </c>
      <c r="I98" s="20" t="n">
        <v>2.44919</v>
      </c>
    </row>
    <row r="99">
      <c r="A99" s="22" t="n">
        <v>43066</v>
      </c>
      <c r="B99" s="22" t="n">
        <v>43072</v>
      </c>
      <c r="C99">
        <f>TEXT(A99,"yyyy-mm")</f>
        <v/>
      </c>
      <c r="D99" s="20" t="n">
        <v>2.33619</v>
      </c>
      <c r="F99" s="22" t="n">
        <v>43045</v>
      </c>
      <c r="G99" s="22" t="n">
        <v>43051</v>
      </c>
      <c r="H99">
        <f>TEXT(F99,"yyyy-mm")</f>
        <v/>
      </c>
      <c r="I99" s="20" t="n">
        <v>2.54157</v>
      </c>
    </row>
    <row r="100">
      <c r="A100" s="22" t="n">
        <v>43073</v>
      </c>
      <c r="B100" s="22" t="n">
        <v>43079</v>
      </c>
      <c r="C100">
        <f>TEXT(A100,"yyyy-mm")</f>
        <v/>
      </c>
      <c r="D100" s="20" t="n">
        <v>2.23627</v>
      </c>
      <c r="F100" s="22" t="n">
        <v>43052</v>
      </c>
      <c r="G100" s="22" t="n">
        <v>43058</v>
      </c>
      <c r="H100">
        <f>TEXT(F100,"yyyy-mm")</f>
        <v/>
      </c>
      <c r="I100" s="20" t="n">
        <v>2.52568</v>
      </c>
    </row>
    <row r="101">
      <c r="A101" s="22" t="n">
        <v>43080</v>
      </c>
      <c r="B101" s="22" t="n">
        <v>43086</v>
      </c>
      <c r="C101">
        <f>TEXT(A101,"yyyy-mm")</f>
        <v/>
      </c>
      <c r="D101" s="20" t="n">
        <v>2.28632</v>
      </c>
      <c r="F101" s="22" t="n">
        <v>43059</v>
      </c>
      <c r="G101" s="22" t="n">
        <v>43065</v>
      </c>
      <c r="H101">
        <f>TEXT(F101,"yyyy-mm")</f>
        <v/>
      </c>
      <c r="I101" s="20" t="n">
        <v>2.49284</v>
      </c>
    </row>
    <row r="102">
      <c r="A102" s="22" t="n">
        <v>43087</v>
      </c>
      <c r="B102" s="22" t="n">
        <v>43093</v>
      </c>
      <c r="C102">
        <f>TEXT(A102,"yyyy-mm")</f>
        <v/>
      </c>
      <c r="D102" s="20" t="n">
        <v>2.31545</v>
      </c>
      <c r="F102" s="22" t="n">
        <v>43066</v>
      </c>
      <c r="G102" s="22" t="n">
        <v>43072</v>
      </c>
      <c r="H102">
        <f>TEXT(F102,"yyyy-mm")</f>
        <v/>
      </c>
      <c r="I102" s="20" t="n">
        <v>2.49745</v>
      </c>
    </row>
    <row r="103">
      <c r="A103" s="22" t="n">
        <v>43094</v>
      </c>
      <c r="B103" s="22" t="n">
        <v>43100</v>
      </c>
      <c r="C103">
        <f>TEXT(A103,"yyyy-mm")</f>
        <v/>
      </c>
      <c r="D103" s="20" t="n">
        <v>2.37099</v>
      </c>
      <c r="F103" s="22" t="n">
        <v>43073</v>
      </c>
      <c r="G103" s="22" t="n">
        <v>43079</v>
      </c>
      <c r="H103">
        <f>TEXT(F103,"yyyy-mm")</f>
        <v/>
      </c>
      <c r="I103" s="20" t="n">
        <v>2.47892</v>
      </c>
    </row>
    <row r="104">
      <c r="A104" s="22" t="n">
        <v>43101</v>
      </c>
      <c r="B104" s="22" t="n">
        <v>43107</v>
      </c>
      <c r="C104">
        <f>TEXT(A104,"yyyy-mm")</f>
        <v/>
      </c>
      <c r="D104" s="20" t="n">
        <v>2.37267</v>
      </c>
      <c r="F104" s="22" t="n">
        <v>43080</v>
      </c>
      <c r="G104" s="22" t="n">
        <v>43086</v>
      </c>
      <c r="H104">
        <f>TEXT(F104,"yyyy-mm")</f>
        <v/>
      </c>
      <c r="I104" s="20" t="n">
        <v>2.51465</v>
      </c>
    </row>
    <row r="105">
      <c r="A105" s="22" t="n">
        <v>43108</v>
      </c>
      <c r="B105" s="22" t="n">
        <v>43114</v>
      </c>
      <c r="C105">
        <f>TEXT(A105,"yyyy-mm")</f>
        <v/>
      </c>
      <c r="D105" s="20" t="n">
        <v>2.33921</v>
      </c>
      <c r="F105" s="22" t="n">
        <v>43087</v>
      </c>
      <c r="G105" s="22" t="n">
        <v>43093</v>
      </c>
      <c r="H105">
        <f>TEXT(F105,"yyyy-mm")</f>
        <v/>
      </c>
      <c r="I105" s="20" t="n">
        <v>2.52115</v>
      </c>
    </row>
    <row r="106">
      <c r="A106" s="22" t="n">
        <v>43115</v>
      </c>
      <c r="B106" s="22" t="n">
        <v>43121</v>
      </c>
      <c r="C106">
        <f>TEXT(A106,"yyyy-mm")</f>
        <v/>
      </c>
      <c r="D106" s="20" t="n">
        <v>2.35382</v>
      </c>
      <c r="F106" s="22" t="n">
        <v>43094</v>
      </c>
      <c r="G106" s="22" t="n">
        <v>43100</v>
      </c>
      <c r="H106">
        <f>TEXT(F106,"yyyy-mm")</f>
        <v/>
      </c>
      <c r="I106" s="20" t="n">
        <v>2.55165</v>
      </c>
    </row>
    <row r="107">
      <c r="A107" s="22" t="n">
        <v>43122</v>
      </c>
      <c r="B107" s="22" t="n">
        <v>43128</v>
      </c>
      <c r="C107">
        <f>TEXT(A107,"yyyy-mm")</f>
        <v/>
      </c>
      <c r="D107" s="20" t="n">
        <v>2.36219</v>
      </c>
      <c r="F107" s="22" t="n">
        <v>43101</v>
      </c>
      <c r="G107" s="22" t="n">
        <v>43107</v>
      </c>
      <c r="H107">
        <f>TEXT(F107,"yyyy-mm")</f>
        <v/>
      </c>
      <c r="I107" s="20" t="n">
        <v>2.56263</v>
      </c>
    </row>
    <row r="108">
      <c r="A108" s="22" t="n">
        <v>43129</v>
      </c>
      <c r="B108" s="22" t="n">
        <v>43135</v>
      </c>
      <c r="C108">
        <f>TEXT(A108,"yyyy-mm")</f>
        <v/>
      </c>
      <c r="D108" s="20" t="n">
        <v>2.3482</v>
      </c>
      <c r="F108" s="22" t="n">
        <v>43108</v>
      </c>
      <c r="G108" s="22" t="n">
        <v>43114</v>
      </c>
      <c r="H108">
        <f>TEXT(F108,"yyyy-mm")</f>
        <v/>
      </c>
      <c r="I108" s="20" t="n">
        <v>2.53004</v>
      </c>
    </row>
    <row r="109">
      <c r="A109" s="22" t="n">
        <v>43136</v>
      </c>
      <c r="B109" s="22" t="n">
        <v>43142</v>
      </c>
      <c r="C109">
        <f>TEXT(A109,"yyyy-mm")</f>
        <v/>
      </c>
      <c r="D109" s="20" t="n">
        <v>2.29824</v>
      </c>
      <c r="F109" s="22" t="n">
        <v>43115</v>
      </c>
      <c r="G109" s="22" t="n">
        <v>43121</v>
      </c>
      <c r="H109">
        <f>TEXT(F109,"yyyy-mm")</f>
        <v/>
      </c>
      <c r="I109" s="20" t="n">
        <v>2.51956</v>
      </c>
    </row>
    <row r="110">
      <c r="A110" s="22" t="n">
        <v>43143</v>
      </c>
      <c r="B110" s="22" t="n">
        <v>43149</v>
      </c>
      <c r="C110">
        <f>TEXT(A110,"yyyy-mm")</f>
        <v/>
      </c>
      <c r="D110" s="20" t="n">
        <v>2.25195</v>
      </c>
      <c r="F110" s="22" t="n">
        <v>43122</v>
      </c>
      <c r="G110" s="22" t="n">
        <v>43128</v>
      </c>
      <c r="H110">
        <f>TEXT(F110,"yyyy-mm")</f>
        <v/>
      </c>
      <c r="I110" s="20" t="n">
        <v>2.51402</v>
      </c>
    </row>
    <row r="111">
      <c r="A111" s="22" t="n">
        <v>43150</v>
      </c>
      <c r="B111" s="22" t="n">
        <v>43156</v>
      </c>
      <c r="C111">
        <f>TEXT(A111,"yyyy-mm")</f>
        <v/>
      </c>
      <c r="D111" s="20" t="n">
        <v>2.25488</v>
      </c>
      <c r="F111" s="22" t="n">
        <v>43129</v>
      </c>
      <c r="G111" s="22" t="n">
        <v>43135</v>
      </c>
      <c r="H111">
        <f>TEXT(F111,"yyyy-mm")</f>
        <v/>
      </c>
      <c r="I111" s="20" t="n">
        <v>2.49611</v>
      </c>
    </row>
    <row r="112">
      <c r="A112" s="22" t="n">
        <v>43157</v>
      </c>
      <c r="B112" s="22" t="n">
        <v>43163</v>
      </c>
      <c r="C112">
        <f>TEXT(A112,"yyyy-mm")</f>
        <v/>
      </c>
      <c r="D112" s="20" t="n">
        <v>2.28049</v>
      </c>
      <c r="F112" s="22" t="n">
        <v>43136</v>
      </c>
      <c r="G112" s="22" t="n">
        <v>43142</v>
      </c>
      <c r="H112">
        <f>TEXT(F112,"yyyy-mm")</f>
        <v/>
      </c>
      <c r="I112" s="20" t="n">
        <v>2.46615</v>
      </c>
    </row>
    <row r="113">
      <c r="A113" s="22" t="n">
        <v>43164</v>
      </c>
      <c r="B113" s="22" t="n">
        <v>43170</v>
      </c>
      <c r="C113">
        <f>TEXT(A113,"yyyy-mm")</f>
        <v/>
      </c>
      <c r="D113" s="20" t="n">
        <v>2.24857</v>
      </c>
      <c r="F113" s="22" t="n">
        <v>43143</v>
      </c>
      <c r="G113" s="22" t="n">
        <v>43149</v>
      </c>
      <c r="H113">
        <f>TEXT(F113,"yyyy-mm")</f>
        <v/>
      </c>
      <c r="I113" s="20" t="n">
        <v>2.40897</v>
      </c>
    </row>
    <row r="114">
      <c r="A114" s="22" t="n">
        <v>43171</v>
      </c>
      <c r="B114" s="22" t="n">
        <v>43177</v>
      </c>
      <c r="C114">
        <f>TEXT(A114,"yyyy-mm")</f>
        <v/>
      </c>
      <c r="D114" s="20" t="n">
        <v>2.25047</v>
      </c>
      <c r="F114" s="22" t="n">
        <v>43150</v>
      </c>
      <c r="G114" s="22" t="n">
        <v>43156</v>
      </c>
      <c r="H114">
        <f>TEXT(F114,"yyyy-mm")</f>
        <v/>
      </c>
      <c r="I114" s="20" t="n">
        <v>2.42329</v>
      </c>
    </row>
    <row r="115">
      <c r="A115" s="22" t="n">
        <v>43178</v>
      </c>
      <c r="B115" s="22" t="n">
        <v>43184</v>
      </c>
      <c r="C115">
        <f>TEXT(A115,"yyyy-mm")</f>
        <v/>
      </c>
      <c r="D115" s="20" t="n">
        <v>2.29848</v>
      </c>
      <c r="F115" s="22" t="n">
        <v>43157</v>
      </c>
      <c r="G115" s="22" t="n">
        <v>43163</v>
      </c>
      <c r="H115">
        <f>TEXT(F115,"yyyy-mm")</f>
        <v/>
      </c>
      <c r="I115" s="20" t="n">
        <v>2.46075</v>
      </c>
    </row>
    <row r="116">
      <c r="A116" s="22" t="n">
        <v>43185</v>
      </c>
      <c r="B116" s="22" t="n">
        <v>43191</v>
      </c>
      <c r="C116">
        <f>TEXT(A116,"yyyy-mm")</f>
        <v/>
      </c>
      <c r="D116" s="20" t="n">
        <v>2.3758</v>
      </c>
      <c r="F116" s="22" t="n">
        <v>43164</v>
      </c>
      <c r="G116" s="22" t="n">
        <v>43170</v>
      </c>
      <c r="H116">
        <f>TEXT(F116,"yyyy-mm")</f>
        <v/>
      </c>
      <c r="I116" s="20" t="n">
        <v>2.46792</v>
      </c>
    </row>
    <row r="117">
      <c r="A117" s="22" t="n">
        <v>43192</v>
      </c>
      <c r="B117" s="22" t="n">
        <v>43198</v>
      </c>
      <c r="C117">
        <f>TEXT(A117,"yyyy-mm")</f>
        <v/>
      </c>
      <c r="D117" s="20" t="n">
        <v>2.36719</v>
      </c>
      <c r="F117" s="22" t="n">
        <v>43171</v>
      </c>
      <c r="G117" s="22" t="n">
        <v>43177</v>
      </c>
      <c r="H117">
        <f>TEXT(F117,"yyyy-mm")</f>
        <v/>
      </c>
      <c r="I117" s="20" t="n">
        <v>2.43325</v>
      </c>
    </row>
    <row r="118">
      <c r="A118" s="22" t="n">
        <v>43199</v>
      </c>
      <c r="B118" s="22" t="n">
        <v>43205</v>
      </c>
      <c r="C118">
        <f>TEXT(A118,"yyyy-mm")</f>
        <v/>
      </c>
      <c r="D118" s="20" t="n">
        <v>2.43323</v>
      </c>
      <c r="F118" s="22" t="n">
        <v>43178</v>
      </c>
      <c r="G118" s="22" t="n">
        <v>43184</v>
      </c>
      <c r="H118">
        <f>TEXT(F118,"yyyy-mm")</f>
        <v/>
      </c>
      <c r="I118" s="20" t="n">
        <v>2.53748</v>
      </c>
    </row>
    <row r="119">
      <c r="A119" s="22" t="n">
        <v>43206</v>
      </c>
      <c r="B119" s="22" t="n">
        <v>43212</v>
      </c>
      <c r="C119">
        <f>TEXT(A119,"yyyy-mm")</f>
        <v/>
      </c>
      <c r="D119" s="20" t="n">
        <v>2.49514</v>
      </c>
      <c r="F119" s="22" t="n">
        <v>43185</v>
      </c>
      <c r="G119" s="22" t="n">
        <v>43191</v>
      </c>
      <c r="H119">
        <f>TEXT(F119,"yyyy-mm")</f>
        <v/>
      </c>
      <c r="I119" s="20" t="n">
        <v>2.53307</v>
      </c>
    </row>
    <row r="120">
      <c r="A120" s="22" t="n">
        <v>43213</v>
      </c>
      <c r="B120" s="22" t="n">
        <v>43219</v>
      </c>
      <c r="C120">
        <f>TEXT(A120,"yyyy-mm")</f>
        <v/>
      </c>
      <c r="D120" s="20" t="n">
        <v>2.54796</v>
      </c>
      <c r="F120" s="22" t="n">
        <v>43192</v>
      </c>
      <c r="G120" s="22" t="n">
        <v>43198</v>
      </c>
      <c r="H120">
        <f>TEXT(F120,"yyyy-mm")</f>
        <v/>
      </c>
      <c r="I120" s="20" t="n">
        <v>2.5443</v>
      </c>
    </row>
    <row r="121">
      <c r="A121" s="22" t="n">
        <v>43220</v>
      </c>
      <c r="B121" s="22" t="n">
        <v>43226</v>
      </c>
      <c r="C121">
        <f>TEXT(A121,"yyyy-mm")</f>
        <v/>
      </c>
      <c r="D121" s="20" t="n">
        <v>2.59022</v>
      </c>
      <c r="F121" s="22" t="n">
        <v>43199</v>
      </c>
      <c r="G121" s="22" t="n">
        <v>43205</v>
      </c>
      <c r="H121">
        <f>TEXT(F121,"yyyy-mm")</f>
        <v/>
      </c>
      <c r="I121" s="20" t="n">
        <v>2.57246</v>
      </c>
    </row>
    <row r="122">
      <c r="A122" s="22" t="n">
        <v>43227</v>
      </c>
      <c r="B122" s="22" t="n">
        <v>43233</v>
      </c>
      <c r="C122">
        <f>TEXT(A122,"yyyy-mm")</f>
        <v/>
      </c>
      <c r="D122" s="20" t="n">
        <v>2.66971</v>
      </c>
      <c r="F122" s="22" t="n">
        <v>43206</v>
      </c>
      <c r="G122" s="22" t="n">
        <v>43212</v>
      </c>
      <c r="H122">
        <f>TEXT(F122,"yyyy-mm")</f>
        <v/>
      </c>
      <c r="I122" s="20" t="n">
        <v>2.61907</v>
      </c>
    </row>
    <row r="123">
      <c r="A123" s="22" t="n">
        <v>43234</v>
      </c>
      <c r="B123" s="22" t="n">
        <v>43240</v>
      </c>
      <c r="C123">
        <f>TEXT(A123,"yyyy-mm")</f>
        <v/>
      </c>
      <c r="D123" s="20" t="n">
        <v>2.77535</v>
      </c>
      <c r="F123" s="22" t="n">
        <v>43213</v>
      </c>
      <c r="G123" s="22" t="n">
        <v>43219</v>
      </c>
      <c r="H123">
        <f>TEXT(F123,"yyyy-mm")</f>
        <v/>
      </c>
      <c r="I123" s="20" t="n">
        <v>2.6495</v>
      </c>
    </row>
    <row r="124">
      <c r="A124" s="22" t="n">
        <v>43241</v>
      </c>
      <c r="B124" s="22" t="n">
        <v>43247</v>
      </c>
      <c r="C124">
        <f>TEXT(A124,"yyyy-mm")</f>
        <v/>
      </c>
      <c r="D124" s="20" t="n">
        <v>2.74243</v>
      </c>
      <c r="F124" s="22" t="n">
        <v>43220</v>
      </c>
      <c r="G124" s="22" t="n">
        <v>43226</v>
      </c>
      <c r="H124">
        <f>TEXT(F124,"yyyy-mm")</f>
        <v/>
      </c>
      <c r="I124" s="20" t="n">
        <v>2.69139</v>
      </c>
    </row>
    <row r="125">
      <c r="A125" s="22" t="n">
        <v>43248</v>
      </c>
      <c r="B125" s="22" t="n">
        <v>43254</v>
      </c>
      <c r="C125">
        <f>TEXT(A125,"yyyy-mm")</f>
        <v/>
      </c>
      <c r="D125" s="20" t="n">
        <v>2.47836</v>
      </c>
      <c r="F125" s="22" t="n">
        <v>43227</v>
      </c>
      <c r="G125" s="22" t="n">
        <v>43233</v>
      </c>
      <c r="H125">
        <f>TEXT(F125,"yyyy-mm")</f>
        <v/>
      </c>
      <c r="I125" s="20" t="n">
        <v>2.73427</v>
      </c>
    </row>
    <row r="126">
      <c r="A126" s="22" t="n">
        <v>43255</v>
      </c>
      <c r="B126" s="22" t="n">
        <v>43261</v>
      </c>
      <c r="C126">
        <f>TEXT(A126,"yyyy-mm")</f>
        <v/>
      </c>
      <c r="D126" s="20" t="n">
        <v>2.38366</v>
      </c>
      <c r="F126" s="22" t="n">
        <v>43234</v>
      </c>
      <c r="G126" s="22" t="n">
        <v>43240</v>
      </c>
      <c r="H126">
        <f>TEXT(F126,"yyyy-mm")</f>
        <v/>
      </c>
      <c r="I126" s="20" t="n">
        <v>2.88737</v>
      </c>
    </row>
    <row r="127">
      <c r="A127" s="22" t="n">
        <v>43262</v>
      </c>
      <c r="B127" s="22" t="n">
        <v>43268</v>
      </c>
      <c r="C127">
        <f>TEXT(A127,"yyyy-mm")</f>
        <v/>
      </c>
      <c r="D127" s="20" t="n">
        <v>2.38202</v>
      </c>
      <c r="F127" s="22" t="n">
        <v>43241</v>
      </c>
      <c r="G127" s="22" t="n">
        <v>43247</v>
      </c>
      <c r="H127">
        <f>TEXT(F127,"yyyy-mm")</f>
        <v/>
      </c>
      <c r="I127" s="20" t="n">
        <v>2.88836</v>
      </c>
    </row>
    <row r="128">
      <c r="A128" s="22" t="n">
        <v>43269</v>
      </c>
      <c r="B128" s="22" t="n">
        <v>43275</v>
      </c>
      <c r="C128">
        <f>TEXT(A128,"yyyy-mm")</f>
        <v/>
      </c>
      <c r="D128" s="20" t="n">
        <v>2.39316</v>
      </c>
      <c r="F128" s="22" t="n">
        <v>43248</v>
      </c>
      <c r="G128" s="22" t="n">
        <v>43254</v>
      </c>
      <c r="H128">
        <f>TEXT(F128,"yyyy-mm")</f>
        <v/>
      </c>
      <c r="I128" s="20" t="n">
        <v>2.87737</v>
      </c>
    </row>
    <row r="129">
      <c r="A129" s="22" t="n">
        <v>43276</v>
      </c>
      <c r="B129" s="22" t="n">
        <v>43282</v>
      </c>
      <c r="C129">
        <f>TEXT(A129,"yyyy-mm")</f>
        <v/>
      </c>
      <c r="D129" s="20" t="n">
        <v>2.39165</v>
      </c>
      <c r="F129" s="22" t="n">
        <v>43255</v>
      </c>
      <c r="G129" s="22" t="n">
        <v>43261</v>
      </c>
      <c r="H129">
        <f>TEXT(F129,"yyyy-mm")</f>
        <v/>
      </c>
      <c r="I129" s="20" t="n">
        <v>2.87607</v>
      </c>
    </row>
    <row r="130">
      <c r="A130" s="22" t="n">
        <v>43283</v>
      </c>
      <c r="B130" s="22" t="n">
        <v>43289</v>
      </c>
      <c r="C130">
        <f>TEXT(A130,"yyyy-mm")</f>
        <v/>
      </c>
      <c r="D130" s="20" t="n">
        <v>2.3891</v>
      </c>
      <c r="F130" s="22" t="n">
        <v>43262</v>
      </c>
      <c r="G130" s="22" t="n">
        <v>43268</v>
      </c>
      <c r="H130">
        <f>TEXT(F130,"yyyy-mm")</f>
        <v/>
      </c>
      <c r="I130" s="20" t="n">
        <v>2.87857</v>
      </c>
    </row>
    <row r="131">
      <c r="A131" s="22" t="n">
        <v>43290</v>
      </c>
      <c r="B131" s="22" t="n">
        <v>43296</v>
      </c>
      <c r="C131">
        <f>TEXT(A131,"yyyy-mm")</f>
        <v/>
      </c>
      <c r="D131" s="20" t="n">
        <v>2.37124</v>
      </c>
      <c r="F131" s="22" t="n">
        <v>43269</v>
      </c>
      <c r="G131" s="22" t="n">
        <v>43275</v>
      </c>
      <c r="H131">
        <f>TEXT(F131,"yyyy-mm")</f>
        <v/>
      </c>
      <c r="I131" s="20" t="n">
        <v>2.78245</v>
      </c>
    </row>
    <row r="132">
      <c r="A132" s="22" t="n">
        <v>43297</v>
      </c>
      <c r="B132" s="22" t="n">
        <v>43303</v>
      </c>
      <c r="C132">
        <f>TEXT(A132,"yyyy-mm")</f>
        <v/>
      </c>
      <c r="D132" s="20" t="n">
        <v>2.38628</v>
      </c>
      <c r="F132" s="22" t="n">
        <v>43276</v>
      </c>
      <c r="G132" s="22" t="n">
        <v>43282</v>
      </c>
      <c r="H132">
        <f>TEXT(F132,"yyyy-mm")</f>
        <v/>
      </c>
      <c r="I132" s="20" t="n">
        <v>2.79282</v>
      </c>
    </row>
    <row r="133">
      <c r="A133" s="22" t="n">
        <v>43304</v>
      </c>
      <c r="B133" s="22" t="n">
        <v>43310</v>
      </c>
      <c r="C133">
        <f>TEXT(A133,"yyyy-mm")</f>
        <v/>
      </c>
      <c r="D133" s="20" t="n">
        <v>2.38055</v>
      </c>
      <c r="F133" s="22" t="n">
        <v>43283</v>
      </c>
      <c r="G133" s="22" t="n">
        <v>43289</v>
      </c>
      <c r="H133">
        <f>TEXT(F133,"yyyy-mm")</f>
        <v/>
      </c>
      <c r="I133" s="20" t="n">
        <v>2.87713</v>
      </c>
    </row>
    <row r="134">
      <c r="A134" s="22" t="n">
        <v>43311</v>
      </c>
      <c r="B134" s="22" t="n">
        <v>43317</v>
      </c>
      <c r="C134">
        <f>TEXT(A134,"yyyy-mm")</f>
        <v/>
      </c>
      <c r="D134" s="20" t="n">
        <v>2.37783</v>
      </c>
      <c r="F134" s="22" t="n">
        <v>43290</v>
      </c>
      <c r="G134" s="22" t="n">
        <v>43296</v>
      </c>
      <c r="H134">
        <f>TEXT(F134,"yyyy-mm")</f>
        <v/>
      </c>
      <c r="I134" s="20" t="n">
        <v>2.93006</v>
      </c>
    </row>
    <row r="135">
      <c r="A135" s="22" t="n">
        <v>43318</v>
      </c>
      <c r="B135" s="22" t="n">
        <v>43324</v>
      </c>
      <c r="C135">
        <f>TEXT(A135,"yyyy-mm")</f>
        <v/>
      </c>
      <c r="D135" s="20" t="n">
        <v>2.39398</v>
      </c>
      <c r="F135" s="22" t="n">
        <v>43297</v>
      </c>
      <c r="G135" s="22" t="n">
        <v>43303</v>
      </c>
      <c r="H135">
        <f>TEXT(F135,"yyyy-mm")</f>
        <v/>
      </c>
      <c r="I135" s="20" t="n">
        <v>2.89027</v>
      </c>
    </row>
    <row r="136">
      <c r="A136" s="22" t="n">
        <v>43325</v>
      </c>
      <c r="B136" s="22" t="n">
        <v>43331</v>
      </c>
      <c r="C136">
        <f>TEXT(A136,"yyyy-mm")</f>
        <v/>
      </c>
      <c r="D136" s="20" t="n">
        <v>2.38122</v>
      </c>
      <c r="F136" s="22" t="n">
        <v>43304</v>
      </c>
      <c r="G136" s="22" t="n">
        <v>43310</v>
      </c>
      <c r="H136">
        <f>TEXT(F136,"yyyy-mm")</f>
        <v/>
      </c>
      <c r="I136" s="20" t="n">
        <v>2.84258</v>
      </c>
    </row>
    <row r="137">
      <c r="A137" s="22" t="n">
        <v>43332</v>
      </c>
      <c r="B137" s="22" t="n">
        <v>43338</v>
      </c>
      <c r="C137">
        <f>TEXT(A137,"yyyy-mm")</f>
        <v/>
      </c>
      <c r="D137" s="20" t="n">
        <v>2.37892</v>
      </c>
      <c r="F137" s="22" t="n">
        <v>43311</v>
      </c>
      <c r="G137" s="22" t="n">
        <v>43317</v>
      </c>
      <c r="H137">
        <f>TEXT(F137,"yyyy-mm")</f>
        <v/>
      </c>
      <c r="I137" s="20" t="n">
        <v>2.87871</v>
      </c>
    </row>
    <row r="138">
      <c r="A138" s="22" t="n">
        <v>43339</v>
      </c>
      <c r="B138" s="22" t="n">
        <v>43345</v>
      </c>
      <c r="C138">
        <f>TEXT(A138,"yyyy-mm")</f>
        <v/>
      </c>
      <c r="D138" s="20" t="n">
        <v>2.47924</v>
      </c>
      <c r="F138" s="22" t="n">
        <v>43318</v>
      </c>
      <c r="G138" s="22" t="n">
        <v>43324</v>
      </c>
      <c r="H138">
        <f>TEXT(F138,"yyyy-mm")</f>
        <v/>
      </c>
      <c r="I138" s="20" t="n">
        <v>2.83495</v>
      </c>
    </row>
    <row r="139">
      <c r="A139" s="22" t="n">
        <v>43346</v>
      </c>
      <c r="B139" s="22" t="n">
        <v>43352</v>
      </c>
      <c r="C139">
        <f>TEXT(A139,"yyyy-mm")</f>
        <v/>
      </c>
      <c r="D139" s="20" t="n">
        <v>2.64719</v>
      </c>
      <c r="F139" s="22" t="n">
        <v>43325</v>
      </c>
      <c r="G139" s="22" t="n">
        <v>43331</v>
      </c>
      <c r="H139">
        <f>TEXT(F139,"yyyy-mm")</f>
        <v/>
      </c>
      <c r="I139" s="20" t="n">
        <v>2.86659</v>
      </c>
    </row>
    <row r="140">
      <c r="A140" s="22" t="n">
        <v>43353</v>
      </c>
      <c r="B140" s="22" t="n">
        <v>43359</v>
      </c>
      <c r="C140">
        <f>TEXT(A140,"yyyy-mm")</f>
        <v/>
      </c>
      <c r="D140" s="20" t="n">
        <v>2.64551</v>
      </c>
      <c r="F140" s="22" t="n">
        <v>43332</v>
      </c>
      <c r="G140" s="22" t="n">
        <v>43338</v>
      </c>
      <c r="H140">
        <f>TEXT(F140,"yyyy-mm")</f>
        <v/>
      </c>
      <c r="I140" s="20" t="n">
        <v>2.91397</v>
      </c>
    </row>
    <row r="141">
      <c r="A141" s="22" t="n">
        <v>43360</v>
      </c>
      <c r="B141" s="22" t="n">
        <v>43366</v>
      </c>
      <c r="C141">
        <f>TEXT(A141,"yyyy-mm")</f>
        <v/>
      </c>
      <c r="D141" s="20" t="n">
        <v>2.64318</v>
      </c>
      <c r="F141" s="22" t="n">
        <v>43339</v>
      </c>
      <c r="G141" s="22" t="n">
        <v>43345</v>
      </c>
      <c r="H141">
        <f>TEXT(F141,"yyyy-mm")</f>
        <v/>
      </c>
      <c r="I141" s="20" t="n">
        <v>3.00165</v>
      </c>
    </row>
    <row r="142">
      <c r="A142" s="22" t="n">
        <v>43367</v>
      </c>
      <c r="B142" s="22" t="n">
        <v>43373</v>
      </c>
      <c r="C142">
        <f>TEXT(A142,"yyyy-mm")</f>
        <v/>
      </c>
      <c r="D142" s="20" t="n">
        <v>2.64209</v>
      </c>
      <c r="F142" s="22" t="n">
        <v>43346</v>
      </c>
      <c r="G142" s="22" t="n">
        <v>43352</v>
      </c>
      <c r="H142">
        <f>TEXT(F142,"yyyy-mm")</f>
        <v/>
      </c>
      <c r="I142" s="20" t="n">
        <v>3.10221</v>
      </c>
    </row>
    <row r="143">
      <c r="A143" s="22" t="n">
        <v>43374</v>
      </c>
      <c r="B143" s="22" t="n">
        <v>43380</v>
      </c>
      <c r="C143">
        <f>TEXT(A143,"yyyy-mm")</f>
        <v/>
      </c>
      <c r="D143" s="20" t="n">
        <v>2.70651</v>
      </c>
      <c r="F143" s="22" t="n">
        <v>43353</v>
      </c>
      <c r="G143" s="22" t="n">
        <v>43359</v>
      </c>
      <c r="H143">
        <f>TEXT(F143,"yyyy-mm")</f>
        <v/>
      </c>
      <c r="I143" s="20" t="n">
        <v>3.12722</v>
      </c>
    </row>
    <row r="144">
      <c r="A144" s="22" t="n">
        <v>43381</v>
      </c>
      <c r="B144" s="22" t="n">
        <v>43387</v>
      </c>
      <c r="C144">
        <f>TEXT(A144,"yyyy-mm")</f>
        <v/>
      </c>
      <c r="D144" s="20" t="n">
        <v>2.71064</v>
      </c>
      <c r="F144" s="22" t="n">
        <v>43360</v>
      </c>
      <c r="G144" s="22" t="n">
        <v>43366</v>
      </c>
      <c r="H144">
        <f>TEXT(F144,"yyyy-mm")</f>
        <v/>
      </c>
      <c r="I144" s="20" t="n">
        <v>3.15339</v>
      </c>
    </row>
    <row r="145">
      <c r="A145" s="22" t="n">
        <v>43388</v>
      </c>
      <c r="B145" s="22" t="n">
        <v>43394</v>
      </c>
      <c r="C145">
        <f>TEXT(A145,"yyyy-mm")</f>
        <v/>
      </c>
      <c r="D145" s="20" t="n">
        <v>2.70062</v>
      </c>
      <c r="F145" s="22" t="n">
        <v>43367</v>
      </c>
      <c r="G145" s="22" t="n">
        <v>43373</v>
      </c>
      <c r="H145">
        <f>TEXT(F145,"yyyy-mm")</f>
        <v/>
      </c>
      <c r="I145" s="20" t="n">
        <v>3.14371</v>
      </c>
    </row>
    <row r="146">
      <c r="A146" s="22" t="n">
        <v>43395</v>
      </c>
      <c r="B146" s="22" t="n">
        <v>43401</v>
      </c>
      <c r="C146">
        <f>TEXT(A146,"yyyy-mm")</f>
        <v/>
      </c>
      <c r="D146" s="20" t="n">
        <v>2.69712</v>
      </c>
      <c r="F146" s="22" t="n">
        <v>43374</v>
      </c>
      <c r="G146" s="22" t="n">
        <v>43380</v>
      </c>
      <c r="H146">
        <f>TEXT(F146,"yyyy-mm")</f>
        <v/>
      </c>
      <c r="I146" s="20" t="n">
        <v>3.1145</v>
      </c>
    </row>
    <row r="147">
      <c r="A147" s="22" t="n">
        <v>43402</v>
      </c>
      <c r="B147" s="22" t="n">
        <v>43408</v>
      </c>
      <c r="C147">
        <f>TEXT(A147,"yyyy-mm")</f>
        <v/>
      </c>
      <c r="D147" s="20" t="n">
        <v>2.47989</v>
      </c>
      <c r="F147" s="22" t="n">
        <v>43381</v>
      </c>
      <c r="G147" s="22" t="n">
        <v>43387</v>
      </c>
      <c r="H147">
        <f>TEXT(F147,"yyyy-mm")</f>
        <v/>
      </c>
      <c r="I147" s="20" t="n">
        <v>3.07291</v>
      </c>
    </row>
    <row r="148">
      <c r="A148" s="22" t="n">
        <v>43409</v>
      </c>
      <c r="B148" s="22" t="n">
        <v>43415</v>
      </c>
      <c r="C148">
        <f>TEXT(A148,"yyyy-mm")</f>
        <v/>
      </c>
      <c r="D148" s="20" t="n">
        <v>2.46397</v>
      </c>
      <c r="F148" s="22" t="n">
        <v>43388</v>
      </c>
      <c r="G148" s="22" t="n">
        <v>43394</v>
      </c>
      <c r="H148">
        <f>TEXT(F148,"yyyy-mm")</f>
        <v/>
      </c>
      <c r="I148" s="20" t="n">
        <v>3.0369</v>
      </c>
    </row>
    <row r="149">
      <c r="A149" s="22" t="n">
        <v>43416</v>
      </c>
      <c r="B149" s="22" t="n">
        <v>43422</v>
      </c>
      <c r="C149">
        <f>TEXT(A149,"yyyy-mm")</f>
        <v/>
      </c>
      <c r="D149" s="20" t="n">
        <v>2.46939</v>
      </c>
      <c r="F149" s="22" t="n">
        <v>43395</v>
      </c>
      <c r="G149" s="22" t="n">
        <v>43401</v>
      </c>
      <c r="H149">
        <f>TEXT(F149,"yyyy-mm")</f>
        <v/>
      </c>
      <c r="I149" s="20" t="n">
        <v>2.90398</v>
      </c>
    </row>
    <row r="150">
      <c r="A150" s="22" t="n">
        <v>43423</v>
      </c>
      <c r="B150" s="22" t="n">
        <v>43429</v>
      </c>
      <c r="C150">
        <f>TEXT(A150,"yyyy-mm")</f>
        <v/>
      </c>
      <c r="D150" s="20" t="n">
        <v>2.4599</v>
      </c>
      <c r="F150" s="22" t="n">
        <v>43402</v>
      </c>
      <c r="G150" s="22" t="n">
        <v>43408</v>
      </c>
      <c r="H150">
        <f>TEXT(F150,"yyyy-mm")</f>
        <v/>
      </c>
      <c r="I150" s="20" t="n">
        <v>2.79138</v>
      </c>
    </row>
    <row r="151">
      <c r="A151" s="22" t="n">
        <v>43430</v>
      </c>
      <c r="B151" s="22" t="n">
        <v>43436</v>
      </c>
      <c r="C151">
        <f>TEXT(A151,"yyyy-mm")</f>
        <v/>
      </c>
      <c r="D151" s="20" t="n">
        <v>2.23102</v>
      </c>
      <c r="F151" s="22" t="n">
        <v>43409</v>
      </c>
      <c r="G151" s="22" t="n">
        <v>43415</v>
      </c>
      <c r="H151">
        <f>TEXT(F151,"yyyy-mm")</f>
        <v/>
      </c>
      <c r="I151" s="20" t="n">
        <v>2.62764</v>
      </c>
    </row>
    <row r="152">
      <c r="A152" s="22" t="n">
        <v>43437</v>
      </c>
      <c r="B152" s="22" t="n">
        <v>43443</v>
      </c>
      <c r="C152">
        <f>TEXT(A152,"yyyy-mm")</f>
        <v/>
      </c>
      <c r="D152" s="20" t="n">
        <v>2.13862</v>
      </c>
      <c r="F152" s="22" t="n">
        <v>43416</v>
      </c>
      <c r="G152" s="22" t="n">
        <v>43422</v>
      </c>
      <c r="H152">
        <f>TEXT(F152,"yyyy-mm")</f>
        <v/>
      </c>
      <c r="I152" s="20" t="n">
        <v>2.53582</v>
      </c>
    </row>
    <row r="153">
      <c r="A153" s="22" t="n">
        <v>43444</v>
      </c>
      <c r="B153" s="22" t="n">
        <v>43450</v>
      </c>
      <c r="C153">
        <f>TEXT(A153,"yyyy-mm")</f>
        <v/>
      </c>
      <c r="D153" s="20" t="n">
        <v>2.14071</v>
      </c>
      <c r="F153" s="22" t="n">
        <v>43423</v>
      </c>
      <c r="G153" s="22" t="n">
        <v>43429</v>
      </c>
      <c r="H153">
        <f>TEXT(F153,"yyyy-mm")</f>
        <v/>
      </c>
      <c r="I153" s="20" t="n">
        <v>2.48855</v>
      </c>
    </row>
    <row r="154">
      <c r="A154" s="22" t="n">
        <v>43451</v>
      </c>
      <c r="B154" s="22" t="n">
        <v>43457</v>
      </c>
      <c r="C154">
        <f>TEXT(A154,"yyyy-mm")</f>
        <v/>
      </c>
      <c r="D154" s="20" t="n">
        <v>2.1899</v>
      </c>
      <c r="F154" s="22" t="n">
        <v>43430</v>
      </c>
      <c r="G154" s="22" t="n">
        <v>43436</v>
      </c>
      <c r="H154">
        <f>TEXT(F154,"yyyy-mm")</f>
        <v/>
      </c>
      <c r="I154" s="20" t="n">
        <v>2.42068</v>
      </c>
    </row>
    <row r="155">
      <c r="A155" s="22" t="n">
        <v>43458</v>
      </c>
      <c r="B155" s="22" t="n">
        <v>43464</v>
      </c>
      <c r="C155">
        <f>TEXT(A155,"yyyy-mm")</f>
        <v/>
      </c>
      <c r="D155" s="20" t="n">
        <v>2.17139</v>
      </c>
      <c r="F155" s="22" t="n">
        <v>43437</v>
      </c>
      <c r="G155" s="22" t="n">
        <v>43443</v>
      </c>
      <c r="H155">
        <f>TEXT(F155,"yyyy-mm")</f>
        <v/>
      </c>
      <c r="I155" s="20" t="n">
        <v>2.43267</v>
      </c>
    </row>
    <row r="156">
      <c r="A156" s="22" t="n">
        <v>43465</v>
      </c>
      <c r="B156" s="22" t="n">
        <v>43471</v>
      </c>
      <c r="C156">
        <f>TEXT(A156,"yyyy-mm")</f>
        <v/>
      </c>
      <c r="D156" s="20" t="n">
        <v>2.20604</v>
      </c>
      <c r="F156" s="22" t="n">
        <v>43444</v>
      </c>
      <c r="G156" s="22" t="n">
        <v>43450</v>
      </c>
      <c r="H156">
        <f>TEXT(F156,"yyyy-mm")</f>
        <v/>
      </c>
      <c r="I156" s="20" t="n">
        <v>2.50262</v>
      </c>
    </row>
    <row r="157">
      <c r="A157" s="22" t="n">
        <v>43472</v>
      </c>
      <c r="B157" s="22" t="n">
        <v>43478</v>
      </c>
      <c r="C157">
        <f>TEXT(A157,"yyyy-mm")</f>
        <v/>
      </c>
      <c r="D157" s="20" t="n">
        <v>2.22257</v>
      </c>
      <c r="F157" s="22" t="n">
        <v>43451</v>
      </c>
      <c r="G157" s="22" t="n">
        <v>43457</v>
      </c>
      <c r="H157">
        <f>TEXT(F157,"yyyy-mm")</f>
        <v/>
      </c>
      <c r="I157" s="20" t="n">
        <v>2.52778</v>
      </c>
    </row>
    <row r="158">
      <c r="A158" s="22" t="n">
        <v>43479</v>
      </c>
      <c r="B158" s="22" t="n">
        <v>43485</v>
      </c>
      <c r="C158">
        <f>TEXT(A158,"yyyy-mm")</f>
        <v/>
      </c>
      <c r="D158" s="20" t="n">
        <v>2.30956</v>
      </c>
      <c r="F158" s="22" t="n">
        <v>43458</v>
      </c>
      <c r="G158" s="22" t="n">
        <v>43464</v>
      </c>
      <c r="H158">
        <f>TEXT(F158,"yyyy-mm")</f>
        <v/>
      </c>
      <c r="I158" s="20" t="n">
        <v>2.46177</v>
      </c>
    </row>
    <row r="159">
      <c r="A159" s="22" t="n">
        <v>43486</v>
      </c>
      <c r="B159" s="22" t="n">
        <v>43492</v>
      </c>
      <c r="C159">
        <f>TEXT(A159,"yyyy-mm")</f>
        <v/>
      </c>
      <c r="D159" s="20" t="n">
        <v>2.32882</v>
      </c>
      <c r="F159" s="22" t="n">
        <v>43465</v>
      </c>
      <c r="G159" s="22" t="n">
        <v>43471</v>
      </c>
      <c r="H159">
        <f>TEXT(F159,"yyyy-mm")</f>
        <v/>
      </c>
      <c r="I159" s="20" t="n">
        <v>2.38926</v>
      </c>
    </row>
    <row r="160">
      <c r="A160" s="22" t="n">
        <v>43493</v>
      </c>
      <c r="B160" s="22" t="n">
        <v>43499</v>
      </c>
      <c r="C160">
        <f>TEXT(A160,"yyyy-mm")</f>
        <v/>
      </c>
      <c r="D160" s="20" t="n">
        <v>2.35489</v>
      </c>
      <c r="F160" s="22" t="n">
        <v>43472</v>
      </c>
      <c r="G160" s="22" t="n">
        <v>43478</v>
      </c>
      <c r="H160">
        <f>TEXT(F160,"yyyy-mm")</f>
        <v/>
      </c>
      <c r="I160" s="20" t="n">
        <v>2.33864</v>
      </c>
    </row>
    <row r="161">
      <c r="A161" s="22" t="n">
        <v>43500</v>
      </c>
      <c r="B161" s="22" t="n">
        <v>43506</v>
      </c>
      <c r="C161">
        <f>TEXT(A161,"yyyy-mm")</f>
        <v/>
      </c>
      <c r="D161" s="20" t="n">
        <v>2.36536</v>
      </c>
      <c r="F161" s="22" t="n">
        <v>43479</v>
      </c>
      <c r="G161" s="22" t="n">
        <v>43485</v>
      </c>
      <c r="H161">
        <f>TEXT(F161,"yyyy-mm")</f>
        <v/>
      </c>
      <c r="I161" s="20" t="n">
        <v>2.39049</v>
      </c>
    </row>
    <row r="162">
      <c r="A162" s="22" t="n">
        <v>43507</v>
      </c>
      <c r="B162" s="22" t="n">
        <v>43513</v>
      </c>
      <c r="C162">
        <f>TEXT(A162,"yyyy-mm")</f>
        <v/>
      </c>
      <c r="D162" s="20" t="n">
        <v>2.35942</v>
      </c>
      <c r="F162" s="22" t="n">
        <v>43486</v>
      </c>
      <c r="G162" s="22" t="n">
        <v>43492</v>
      </c>
      <c r="H162">
        <f>TEXT(F162,"yyyy-mm")</f>
        <v/>
      </c>
      <c r="I162" s="20" t="n">
        <v>2.42049</v>
      </c>
    </row>
    <row r="163">
      <c r="A163" s="22" t="n">
        <v>43514</v>
      </c>
      <c r="B163" s="22" t="n">
        <v>43520</v>
      </c>
      <c r="C163">
        <f>TEXT(A163,"yyyy-mm")</f>
        <v/>
      </c>
      <c r="D163" s="20" t="n">
        <v>2.41167</v>
      </c>
      <c r="F163" s="22" t="n">
        <v>43493</v>
      </c>
      <c r="G163" s="22" t="n">
        <v>43499</v>
      </c>
      <c r="H163">
        <f>TEXT(F163,"yyyy-mm")</f>
        <v/>
      </c>
      <c r="I163" s="20" t="n">
        <v>2.40332</v>
      </c>
    </row>
    <row r="164">
      <c r="A164" s="22" t="n">
        <v>43521</v>
      </c>
      <c r="B164" s="22" t="n">
        <v>43527</v>
      </c>
      <c r="C164">
        <f>TEXT(A164,"yyyy-mm")</f>
        <v/>
      </c>
      <c r="D164" s="20" t="n">
        <v>2.47125</v>
      </c>
      <c r="F164" s="22" t="n">
        <v>43500</v>
      </c>
      <c r="G164" s="22" t="n">
        <v>43506</v>
      </c>
      <c r="H164">
        <f>TEXT(F164,"yyyy-mm")</f>
        <v/>
      </c>
      <c r="I164" s="20" t="n">
        <v>2.40507</v>
      </c>
    </row>
    <row r="165">
      <c r="A165" s="22" t="n">
        <v>43528</v>
      </c>
      <c r="B165" s="22" t="n">
        <v>43534</v>
      </c>
      <c r="C165">
        <f>TEXT(A165,"yyyy-mm")</f>
        <v/>
      </c>
      <c r="D165" s="20" t="n">
        <v>2.50548</v>
      </c>
      <c r="F165" s="22" t="n">
        <v>43507</v>
      </c>
      <c r="G165" s="22" t="n">
        <v>43513</v>
      </c>
      <c r="H165">
        <f>TEXT(F165,"yyyy-mm")</f>
        <v/>
      </c>
      <c r="I165" s="20" t="n">
        <v>2.43427</v>
      </c>
    </row>
    <row r="166">
      <c r="A166" s="22" t="n">
        <v>43535</v>
      </c>
      <c r="B166" s="22" t="n">
        <v>43541</v>
      </c>
      <c r="C166">
        <f>TEXT(A166,"yyyy-mm")</f>
        <v/>
      </c>
      <c r="D166" s="20" t="n">
        <v>2.52942</v>
      </c>
      <c r="F166" s="22" t="n">
        <v>43514</v>
      </c>
      <c r="G166" s="22" t="n">
        <v>43520</v>
      </c>
      <c r="H166">
        <f>TEXT(F166,"yyyy-mm")</f>
        <v/>
      </c>
      <c r="I166" s="20" t="n">
        <v>2.52278</v>
      </c>
    </row>
    <row r="167">
      <c r="A167" s="22" t="n">
        <v>43542</v>
      </c>
      <c r="B167" s="22" t="n">
        <v>43548</v>
      </c>
      <c r="C167">
        <f>TEXT(A167,"yyyy-mm")</f>
        <v/>
      </c>
      <c r="D167" s="20" t="n">
        <v>2.49271</v>
      </c>
      <c r="F167" s="22" t="n">
        <v>43521</v>
      </c>
      <c r="G167" s="22" t="n">
        <v>43527</v>
      </c>
      <c r="H167">
        <f>TEXT(F167,"yyyy-mm")</f>
        <v/>
      </c>
      <c r="I167" s="20" t="n">
        <v>2.56495</v>
      </c>
    </row>
    <row r="168">
      <c r="A168" s="22" t="n">
        <v>43549</v>
      </c>
      <c r="B168" s="22" t="n">
        <v>43555</v>
      </c>
      <c r="C168">
        <f>TEXT(A168,"yyyy-mm")</f>
        <v/>
      </c>
      <c r="D168" s="20" t="n">
        <v>2.48472</v>
      </c>
      <c r="F168" s="22" t="n">
        <v>43528</v>
      </c>
      <c r="G168" s="22" t="n">
        <v>43534</v>
      </c>
      <c r="H168">
        <f>TEXT(F168,"yyyy-mm")</f>
        <v/>
      </c>
      <c r="I168" s="20" t="n">
        <v>2.60642</v>
      </c>
    </row>
    <row r="169">
      <c r="A169" s="22" t="n">
        <v>43556</v>
      </c>
      <c r="B169" s="22" t="n">
        <v>43562</v>
      </c>
      <c r="C169">
        <f>TEXT(A169,"yyyy-mm")</f>
        <v/>
      </c>
      <c r="D169" s="20" t="n">
        <v>2.49555</v>
      </c>
      <c r="F169" s="22" t="n">
        <v>43535</v>
      </c>
      <c r="G169" s="22" t="n">
        <v>43541</v>
      </c>
      <c r="H169">
        <f>TEXT(F169,"yyyy-mm")</f>
        <v/>
      </c>
      <c r="I169" s="20" t="n">
        <v>2.67786</v>
      </c>
    </row>
    <row r="170">
      <c r="A170" s="22" t="n">
        <v>43563</v>
      </c>
      <c r="B170" s="22" t="n">
        <v>43569</v>
      </c>
      <c r="C170">
        <f>TEXT(A170,"yyyy-mm")</f>
        <v/>
      </c>
      <c r="D170" s="20" t="n">
        <v>2.49317</v>
      </c>
      <c r="F170" s="22" t="n">
        <v>43542</v>
      </c>
      <c r="G170" s="22" t="n">
        <v>43548</v>
      </c>
      <c r="H170">
        <f>TEXT(F170,"yyyy-mm")</f>
        <v/>
      </c>
      <c r="I170" s="20" t="n">
        <v>2.72225</v>
      </c>
    </row>
    <row r="171">
      <c r="A171" s="22" t="n">
        <v>43570</v>
      </c>
      <c r="B171" s="22" t="n">
        <v>43576</v>
      </c>
      <c r="C171">
        <f>TEXT(A171,"yyyy-mm")</f>
        <v/>
      </c>
      <c r="D171" s="20" t="n">
        <v>2.55097</v>
      </c>
      <c r="F171" s="22" t="n">
        <v>43549</v>
      </c>
      <c r="G171" s="22" t="n">
        <v>43555</v>
      </c>
      <c r="H171">
        <f>TEXT(F171,"yyyy-mm")</f>
        <v/>
      </c>
      <c r="I171" s="20" t="n">
        <v>2.73172</v>
      </c>
    </row>
    <row r="172">
      <c r="A172" s="22" t="n">
        <v>43577</v>
      </c>
      <c r="B172" s="22" t="n">
        <v>43583</v>
      </c>
      <c r="C172">
        <f>TEXT(A172,"yyyy-mm")</f>
        <v/>
      </c>
      <c r="D172" s="20" t="n">
        <v>2.59916</v>
      </c>
      <c r="F172" s="22" t="n">
        <v>43556</v>
      </c>
      <c r="G172" s="22" t="n">
        <v>43562</v>
      </c>
      <c r="H172">
        <f>TEXT(F172,"yyyy-mm")</f>
        <v/>
      </c>
      <c r="I172" s="20" t="n">
        <v>2.7687</v>
      </c>
    </row>
    <row r="173">
      <c r="A173" s="22" t="n">
        <v>43584</v>
      </c>
      <c r="B173" s="22" t="n">
        <v>43590</v>
      </c>
      <c r="C173">
        <f>TEXT(A173,"yyyy-mm")</f>
        <v/>
      </c>
      <c r="D173" s="20" t="n">
        <v>2.61061</v>
      </c>
      <c r="F173" s="22" t="n">
        <v>43563</v>
      </c>
      <c r="G173" s="22" t="n">
        <v>43569</v>
      </c>
      <c r="H173">
        <f>TEXT(F173,"yyyy-mm")</f>
        <v/>
      </c>
      <c r="I173" s="20" t="n">
        <v>2.8287</v>
      </c>
    </row>
    <row r="174">
      <c r="A174" s="22" t="n">
        <v>43591</v>
      </c>
      <c r="B174" s="22" t="n">
        <v>43597</v>
      </c>
      <c r="C174">
        <f>TEXT(A174,"yyyy-mm")</f>
        <v/>
      </c>
      <c r="D174" s="20" t="n">
        <v>2.65385</v>
      </c>
      <c r="F174" s="22" t="n">
        <v>43570</v>
      </c>
      <c r="G174" s="22" t="n">
        <v>43576</v>
      </c>
      <c r="H174">
        <f>TEXT(F174,"yyyy-mm")</f>
        <v/>
      </c>
      <c r="I174" s="20" t="n">
        <v>2.83754</v>
      </c>
    </row>
    <row r="175">
      <c r="A175" s="22" t="n">
        <v>43598</v>
      </c>
      <c r="B175" s="22" t="n">
        <v>43604</v>
      </c>
      <c r="C175">
        <f>TEXT(A175,"yyyy-mm")</f>
        <v/>
      </c>
      <c r="D175" s="20" t="n">
        <v>2.64653</v>
      </c>
      <c r="F175" s="22" t="n">
        <v>43577</v>
      </c>
      <c r="G175" s="22" t="n">
        <v>43583</v>
      </c>
      <c r="H175">
        <f>TEXT(F175,"yyyy-mm")</f>
        <v/>
      </c>
      <c r="I175" s="20" t="n">
        <v>2.86517</v>
      </c>
    </row>
    <row r="176">
      <c r="A176" s="22" t="n">
        <v>43605</v>
      </c>
      <c r="B176" s="22" t="n">
        <v>43611</v>
      </c>
      <c r="C176">
        <f>TEXT(A176,"yyyy-mm")</f>
        <v/>
      </c>
      <c r="D176" s="20" t="n">
        <v>2.65943</v>
      </c>
      <c r="F176" s="22" t="n">
        <v>43584</v>
      </c>
      <c r="G176" s="22" t="n">
        <v>43590</v>
      </c>
      <c r="H176">
        <f>TEXT(F176,"yyyy-mm")</f>
        <v/>
      </c>
      <c r="I176" s="20" t="n">
        <v>2.9478</v>
      </c>
    </row>
    <row r="177">
      <c r="A177" s="22" t="n">
        <v>43612</v>
      </c>
      <c r="B177" s="22" t="n">
        <v>43618</v>
      </c>
      <c r="C177">
        <f>TEXT(A177,"yyyy-mm")</f>
        <v/>
      </c>
      <c r="D177" s="20" t="n">
        <v>2.62621</v>
      </c>
      <c r="F177" s="22" t="n">
        <v>43591</v>
      </c>
      <c r="G177" s="22" t="n">
        <v>43597</v>
      </c>
      <c r="H177">
        <f>TEXT(F177,"yyyy-mm")</f>
        <v/>
      </c>
      <c r="I177" s="20" t="n">
        <v>2.93993</v>
      </c>
    </row>
    <row r="178">
      <c r="A178" s="22" t="n">
        <v>43619</v>
      </c>
      <c r="B178" s="22" t="n">
        <v>43625</v>
      </c>
      <c r="C178">
        <f>TEXT(A178,"yyyy-mm")</f>
        <v/>
      </c>
      <c r="D178" s="20" t="n">
        <v>2.5071</v>
      </c>
      <c r="F178" s="22" t="n">
        <v>43598</v>
      </c>
      <c r="G178" s="22" t="n">
        <v>43604</v>
      </c>
      <c r="H178">
        <f>TEXT(F178,"yyyy-mm")</f>
        <v/>
      </c>
      <c r="I178" s="20" t="n">
        <v>2.94094</v>
      </c>
    </row>
    <row r="179">
      <c r="A179" s="22" t="n">
        <v>43626</v>
      </c>
      <c r="B179" s="22" t="n">
        <v>43632</v>
      </c>
      <c r="C179">
        <f>TEXT(A179,"yyyy-mm")</f>
        <v/>
      </c>
      <c r="D179" s="20" t="n">
        <v>2.4583</v>
      </c>
      <c r="F179" s="22" t="n">
        <v>43605</v>
      </c>
      <c r="G179" s="22" t="n">
        <v>43611</v>
      </c>
      <c r="H179">
        <f>TEXT(F179,"yyyy-mm")</f>
        <v/>
      </c>
      <c r="I179" s="20" t="n">
        <v>2.92241</v>
      </c>
    </row>
    <row r="180">
      <c r="A180" s="22" t="n">
        <v>43633</v>
      </c>
      <c r="B180" s="22" t="n">
        <v>43639</v>
      </c>
      <c r="C180">
        <f>TEXT(A180,"yyyy-mm")</f>
        <v/>
      </c>
      <c r="D180" s="20" t="n">
        <v>2.41397</v>
      </c>
      <c r="F180" s="22" t="n">
        <v>43612</v>
      </c>
      <c r="G180" s="22" t="n">
        <v>43618</v>
      </c>
      <c r="H180">
        <f>TEXT(F180,"yyyy-mm")</f>
        <v/>
      </c>
      <c r="I180" s="20" t="n">
        <v>2.82192</v>
      </c>
    </row>
    <row r="181">
      <c r="A181" s="22" t="n">
        <v>43640</v>
      </c>
      <c r="B181" s="22" t="n">
        <v>43646</v>
      </c>
      <c r="C181">
        <f>TEXT(A181,"yyyy-mm")</f>
        <v/>
      </c>
      <c r="D181" s="20" t="n">
        <v>2.41559</v>
      </c>
      <c r="F181" s="22" t="n">
        <v>43619</v>
      </c>
      <c r="G181" s="22" t="n">
        <v>43625</v>
      </c>
      <c r="H181">
        <f>TEXT(F181,"yyyy-mm")</f>
        <v/>
      </c>
      <c r="I181" s="20" t="n">
        <v>2.72583</v>
      </c>
    </row>
    <row r="182">
      <c r="A182" s="22" t="n">
        <v>43647</v>
      </c>
      <c r="B182" s="22" t="n">
        <v>43653</v>
      </c>
      <c r="C182">
        <f>TEXT(A182,"yyyy-mm")</f>
        <v/>
      </c>
      <c r="D182" s="20" t="n">
        <v>2.48267</v>
      </c>
      <c r="F182" s="22" t="n">
        <v>43626</v>
      </c>
      <c r="G182" s="22" t="n">
        <v>43632</v>
      </c>
      <c r="H182">
        <f>TEXT(F182,"yyyy-mm")</f>
        <v/>
      </c>
      <c r="I182" s="20" t="n">
        <v>2.68009</v>
      </c>
    </row>
    <row r="183">
      <c r="A183" s="22" t="n">
        <v>43654</v>
      </c>
      <c r="B183" s="22" t="n">
        <v>43660</v>
      </c>
      <c r="C183">
        <f>TEXT(A183,"yyyy-mm")</f>
        <v/>
      </c>
      <c r="D183" s="20" t="n">
        <v>2.43209</v>
      </c>
      <c r="F183" s="22" t="n">
        <v>43633</v>
      </c>
      <c r="G183" s="22" t="n">
        <v>43639</v>
      </c>
      <c r="H183">
        <f>TEXT(F183,"yyyy-mm")</f>
        <v/>
      </c>
      <c r="I183" s="20" t="n">
        <v>2.6754</v>
      </c>
    </row>
    <row r="184">
      <c r="A184" s="22" t="n">
        <v>43661</v>
      </c>
      <c r="B184" s="22" t="n">
        <v>43667</v>
      </c>
      <c r="C184">
        <f>TEXT(A184,"yyyy-mm")</f>
        <v/>
      </c>
      <c r="D184" s="20" t="n">
        <v>2.39663</v>
      </c>
      <c r="F184" s="22" t="n">
        <v>43640</v>
      </c>
      <c r="G184" s="22" t="n">
        <v>43646</v>
      </c>
      <c r="H184">
        <f>TEXT(F184,"yyyy-mm")</f>
        <v/>
      </c>
      <c r="I184" s="20" t="n">
        <v>2.66066</v>
      </c>
    </row>
    <row r="185">
      <c r="A185" s="22" t="n">
        <v>43668</v>
      </c>
      <c r="B185" s="22" t="n">
        <v>43674</v>
      </c>
      <c r="C185">
        <f>TEXT(A185,"yyyy-mm")</f>
        <v/>
      </c>
      <c r="D185" s="20" t="n">
        <v>2.3701</v>
      </c>
      <c r="F185" s="22" t="n">
        <v>43647</v>
      </c>
      <c r="G185" s="22" t="n">
        <v>43653</v>
      </c>
      <c r="H185">
        <f>TEXT(F185,"yyyy-mm")</f>
        <v/>
      </c>
      <c r="I185" s="20" t="n">
        <v>2.67506</v>
      </c>
    </row>
    <row r="186">
      <c r="A186" s="22" t="n">
        <v>43675</v>
      </c>
      <c r="B186" s="22" t="n">
        <v>43681</v>
      </c>
      <c r="C186">
        <f>TEXT(A186,"yyyy-mm")</f>
        <v/>
      </c>
      <c r="D186" s="20" t="n">
        <v>2.42097</v>
      </c>
      <c r="F186" s="22" t="n">
        <v>43654</v>
      </c>
      <c r="G186" s="22" t="n">
        <v>43660</v>
      </c>
      <c r="H186">
        <f>TEXT(F186,"yyyy-mm")</f>
        <v/>
      </c>
      <c r="I186" s="20" t="n">
        <v>2.6171</v>
      </c>
    </row>
    <row r="187">
      <c r="A187" s="22" t="n">
        <v>43682</v>
      </c>
      <c r="B187" s="22" t="n">
        <v>43688</v>
      </c>
      <c r="C187">
        <f>TEXT(A187,"yyyy-mm")</f>
        <v/>
      </c>
      <c r="D187" s="20" t="n">
        <v>2.44473</v>
      </c>
      <c r="F187" s="22" t="n">
        <v>43661</v>
      </c>
      <c r="G187" s="22" t="n">
        <v>43667</v>
      </c>
      <c r="H187">
        <f>TEXT(F187,"yyyy-mm")</f>
        <v/>
      </c>
      <c r="I187" s="20" t="n">
        <v>2.57892</v>
      </c>
    </row>
    <row r="188">
      <c r="A188" s="22" t="n">
        <v>43689</v>
      </c>
      <c r="B188" s="22" t="n">
        <v>43695</v>
      </c>
      <c r="C188">
        <f>TEXT(A188,"yyyy-mm")</f>
        <v/>
      </c>
      <c r="D188" s="20" t="n">
        <v>2.44572</v>
      </c>
      <c r="F188" s="22" t="n">
        <v>43668</v>
      </c>
      <c r="G188" s="22" t="n">
        <v>43674</v>
      </c>
      <c r="H188">
        <f>TEXT(F188,"yyyy-mm")</f>
        <v/>
      </c>
      <c r="I188" s="20" t="n">
        <v>2.54548</v>
      </c>
    </row>
    <row r="189">
      <c r="A189" s="22" t="n">
        <v>43696</v>
      </c>
      <c r="B189" s="22" t="n">
        <v>43702</v>
      </c>
      <c r="C189">
        <f>TEXT(A189,"yyyy-mm")</f>
        <v/>
      </c>
      <c r="D189" s="20" t="n">
        <v>2.45106</v>
      </c>
      <c r="F189" s="22" t="n">
        <v>43675</v>
      </c>
      <c r="G189" s="22" t="n">
        <v>43681</v>
      </c>
      <c r="H189">
        <f>TEXT(F189,"yyyy-mm")</f>
        <v/>
      </c>
      <c r="I189" s="20" t="n">
        <v>2.58913</v>
      </c>
    </row>
    <row r="190">
      <c r="A190" s="22" t="n">
        <v>43703</v>
      </c>
      <c r="B190" s="22" t="n">
        <v>43709</v>
      </c>
      <c r="C190">
        <f>TEXT(A190,"yyyy-mm")</f>
        <v/>
      </c>
      <c r="D190" s="20" t="n">
        <v>2.4434</v>
      </c>
      <c r="F190" s="22" t="n">
        <v>43682</v>
      </c>
      <c r="G190" s="22" t="n">
        <v>43688</v>
      </c>
      <c r="H190">
        <f>TEXT(F190,"yyyy-mm")</f>
        <v/>
      </c>
      <c r="I190" s="20" t="n">
        <v>2.62781</v>
      </c>
    </row>
    <row r="191">
      <c r="A191" s="22" t="n">
        <v>43710</v>
      </c>
      <c r="B191" s="22" t="n">
        <v>43716</v>
      </c>
      <c r="C191">
        <f>TEXT(A191,"yyyy-mm")</f>
        <v/>
      </c>
      <c r="D191" s="20" t="n">
        <v>2.47722</v>
      </c>
      <c r="F191" s="22" t="n">
        <v>43689</v>
      </c>
      <c r="G191" s="22" t="n">
        <v>43695</v>
      </c>
      <c r="H191">
        <f>TEXT(F191,"yyyy-mm")</f>
        <v/>
      </c>
      <c r="I191" s="20" t="n">
        <v>2.58209</v>
      </c>
    </row>
    <row r="192">
      <c r="A192" s="22" t="n">
        <v>43717</v>
      </c>
      <c r="B192" s="22" t="n">
        <v>43723</v>
      </c>
      <c r="C192">
        <f>TEXT(A192,"yyyy-mm")</f>
        <v/>
      </c>
      <c r="D192" s="20" t="n">
        <v>2.51216</v>
      </c>
      <c r="F192" s="22" t="n">
        <v>43696</v>
      </c>
      <c r="G192" s="22" t="n">
        <v>43702</v>
      </c>
      <c r="H192">
        <f>TEXT(F192,"yyyy-mm")</f>
        <v/>
      </c>
      <c r="I192" s="20" t="n">
        <v>2.52996</v>
      </c>
    </row>
    <row r="193">
      <c r="A193" s="22" t="n">
        <v>43724</v>
      </c>
      <c r="B193" s="22" t="n">
        <v>43730</v>
      </c>
      <c r="C193">
        <f>TEXT(A193,"yyyy-mm")</f>
        <v/>
      </c>
      <c r="D193" s="20" t="n">
        <v>2.59931</v>
      </c>
      <c r="F193" s="22" t="n">
        <v>43703</v>
      </c>
      <c r="G193" s="22" t="n">
        <v>43709</v>
      </c>
      <c r="H193">
        <f>TEXT(F193,"yyyy-mm")</f>
        <v/>
      </c>
      <c r="I193" s="20" t="n">
        <v>2.54878</v>
      </c>
    </row>
    <row r="194">
      <c r="A194" s="22" t="n">
        <v>43731</v>
      </c>
      <c r="B194" s="22" t="n">
        <v>43737</v>
      </c>
      <c r="C194">
        <f>TEXT(A194,"yyyy-mm")</f>
        <v/>
      </c>
      <c r="D194" s="20" t="n">
        <v>2.64077</v>
      </c>
      <c r="F194" s="22" t="n">
        <v>43710</v>
      </c>
      <c r="G194" s="22" t="n">
        <v>43716</v>
      </c>
      <c r="H194">
        <f>TEXT(F194,"yyyy-mm")</f>
        <v/>
      </c>
      <c r="I194" s="20" t="n">
        <v>2.59664</v>
      </c>
    </row>
    <row r="195">
      <c r="A195" s="22" t="n">
        <v>43738</v>
      </c>
      <c r="B195" s="22" t="n">
        <v>43744</v>
      </c>
      <c r="C195">
        <f>TEXT(A195,"yyyy-mm")</f>
        <v/>
      </c>
      <c r="D195" s="20" t="n">
        <v>2.6431</v>
      </c>
      <c r="F195" s="22" t="n">
        <v>43717</v>
      </c>
      <c r="G195" s="22" t="n">
        <v>43723</v>
      </c>
      <c r="H195">
        <f>TEXT(F195,"yyyy-mm")</f>
        <v/>
      </c>
      <c r="I195" s="20" t="n">
        <v>2.60669</v>
      </c>
    </row>
    <row r="196">
      <c r="A196" s="22" t="n">
        <v>43745</v>
      </c>
      <c r="B196" s="22" t="n">
        <v>43751</v>
      </c>
      <c r="C196">
        <f>TEXT(A196,"yyyy-mm")</f>
        <v/>
      </c>
      <c r="D196" s="20" t="n">
        <v>2.64145</v>
      </c>
      <c r="F196" s="22" t="n">
        <v>43724</v>
      </c>
      <c r="G196" s="22" t="n">
        <v>43730</v>
      </c>
      <c r="H196">
        <f>TEXT(F196,"yyyy-mm")</f>
        <v/>
      </c>
      <c r="I196" s="20" t="n">
        <v>2.62279</v>
      </c>
    </row>
    <row r="197">
      <c r="A197" s="22" t="n">
        <v>43752</v>
      </c>
      <c r="B197" s="22" t="n">
        <v>43758</v>
      </c>
      <c r="C197">
        <f>TEXT(A197,"yyyy-mm")</f>
        <v/>
      </c>
      <c r="D197" s="20" t="n">
        <v>2.64423</v>
      </c>
      <c r="F197" s="22" t="n">
        <v>43731</v>
      </c>
      <c r="G197" s="22" t="n">
        <v>43737</v>
      </c>
      <c r="H197">
        <f>TEXT(F197,"yyyy-mm")</f>
        <v/>
      </c>
      <c r="I197" s="20" t="n">
        <v>2.68009</v>
      </c>
    </row>
    <row r="198">
      <c r="A198" s="22" t="n">
        <v>43759</v>
      </c>
      <c r="B198" s="22" t="n">
        <v>43765</v>
      </c>
      <c r="C198">
        <f>TEXT(A198,"yyyy-mm")</f>
        <v/>
      </c>
      <c r="D198" s="20" t="n">
        <v>2.62441</v>
      </c>
      <c r="F198" s="22" t="n">
        <v>43738</v>
      </c>
      <c r="G198" s="22" t="n">
        <v>43744</v>
      </c>
      <c r="H198">
        <f>TEXT(F198,"yyyy-mm")</f>
        <v/>
      </c>
      <c r="I198" s="20" t="n">
        <v>2.71689</v>
      </c>
    </row>
    <row r="199">
      <c r="A199" s="22" t="n">
        <v>43766</v>
      </c>
      <c r="B199" s="22" t="n">
        <v>43772</v>
      </c>
      <c r="C199">
        <f>TEXT(A199,"yyyy-mm")</f>
        <v/>
      </c>
      <c r="D199" s="20" t="n">
        <v>2.57731</v>
      </c>
      <c r="F199" s="22" t="n">
        <v>43745</v>
      </c>
      <c r="G199" s="22" t="n">
        <v>43751</v>
      </c>
      <c r="H199">
        <f>TEXT(F199,"yyyy-mm")</f>
        <v/>
      </c>
      <c r="I199" s="20" t="n">
        <v>2.7075</v>
      </c>
    </row>
    <row r="200">
      <c r="A200" s="22" t="n">
        <v>43773</v>
      </c>
      <c r="B200" s="22" t="n">
        <v>43779</v>
      </c>
      <c r="C200">
        <f>TEXT(A200,"yyyy-mm")</f>
        <v/>
      </c>
      <c r="D200" s="20" t="n">
        <v>2.5415</v>
      </c>
      <c r="F200" s="22" t="n">
        <v>43752</v>
      </c>
      <c r="G200" s="22" t="n">
        <v>43758</v>
      </c>
      <c r="H200">
        <f>TEXT(F200,"yyyy-mm")</f>
        <v/>
      </c>
      <c r="I200" s="20" t="n">
        <v>2.70291</v>
      </c>
    </row>
    <row r="201">
      <c r="A201" s="22" t="n">
        <v>43780</v>
      </c>
      <c r="B201" s="22" t="n">
        <v>43786</v>
      </c>
      <c r="C201">
        <f>TEXT(A201,"yyyy-mm")</f>
        <v/>
      </c>
      <c r="D201" s="20" t="n">
        <v>2.54622</v>
      </c>
      <c r="F201" s="22" t="n">
        <v>43759</v>
      </c>
      <c r="G201" s="22" t="n">
        <v>43765</v>
      </c>
      <c r="H201">
        <f>TEXT(F201,"yyyy-mm")</f>
        <v/>
      </c>
      <c r="I201" s="20" t="n">
        <v>2.69051</v>
      </c>
    </row>
    <row r="202">
      <c r="A202" s="22" t="n">
        <v>43787</v>
      </c>
      <c r="B202" s="22" t="n">
        <v>43793</v>
      </c>
      <c r="C202">
        <f>TEXT(A202,"yyyy-mm")</f>
        <v/>
      </c>
      <c r="D202" s="20" t="n">
        <v>2.55588</v>
      </c>
      <c r="F202" s="22" t="n">
        <v>43766</v>
      </c>
      <c r="G202" s="22" t="n">
        <v>43772</v>
      </c>
      <c r="H202">
        <f>TEXT(F202,"yyyy-mm")</f>
        <v/>
      </c>
      <c r="I202" s="20" t="n">
        <v>2.69285</v>
      </c>
    </row>
    <row r="203">
      <c r="A203" s="22" t="n">
        <v>43794</v>
      </c>
      <c r="B203" s="22" t="n">
        <v>43800</v>
      </c>
      <c r="C203">
        <f>TEXT(A203,"yyyy-mm")</f>
        <v/>
      </c>
      <c r="D203" s="20" t="n">
        <v>2.56795</v>
      </c>
      <c r="F203" s="22" t="n">
        <v>43773</v>
      </c>
      <c r="G203" s="22" t="n">
        <v>43779</v>
      </c>
      <c r="H203">
        <f>TEXT(F203,"yyyy-mm")</f>
        <v/>
      </c>
      <c r="I203" s="20" t="n">
        <v>2.70017</v>
      </c>
    </row>
    <row r="204">
      <c r="A204" s="22" t="n">
        <v>43801</v>
      </c>
      <c r="B204" s="22" t="n">
        <v>43807</v>
      </c>
      <c r="C204">
        <f>TEXT(A204,"yyyy-mm")</f>
        <v/>
      </c>
      <c r="D204" s="20" t="n">
        <v>2.59537</v>
      </c>
      <c r="F204" s="22" t="n">
        <v>43780</v>
      </c>
      <c r="G204" s="22" t="n">
        <v>43786</v>
      </c>
      <c r="H204">
        <f>TEXT(F204,"yyyy-mm")</f>
        <v/>
      </c>
      <c r="I204" s="20" t="n">
        <v>2.68971</v>
      </c>
    </row>
    <row r="205">
      <c r="A205" s="22" t="n">
        <v>43808</v>
      </c>
      <c r="B205" s="22" t="n">
        <v>43814</v>
      </c>
      <c r="C205">
        <f>TEXT(A205,"yyyy-mm")</f>
        <v/>
      </c>
      <c r="D205" s="20" t="n">
        <v>2.60903</v>
      </c>
      <c r="F205" s="22" t="n">
        <v>43787</v>
      </c>
      <c r="G205" s="22" t="n">
        <v>43793</v>
      </c>
      <c r="H205">
        <f>TEXT(F205,"yyyy-mm")</f>
        <v/>
      </c>
      <c r="I205" s="20" t="n">
        <v>2.72612</v>
      </c>
    </row>
    <row r="206">
      <c r="A206" s="22" t="n">
        <v>43815</v>
      </c>
      <c r="B206" s="22" t="n">
        <v>43821</v>
      </c>
      <c r="C206">
        <f>TEXT(A206,"yyyy-mm")</f>
        <v/>
      </c>
      <c r="D206" s="20" t="n">
        <v>2.62152</v>
      </c>
      <c r="F206" s="22" t="n">
        <v>43794</v>
      </c>
      <c r="G206" s="22" t="n">
        <v>43800</v>
      </c>
      <c r="H206">
        <f>TEXT(F206,"yyyy-mm")</f>
        <v/>
      </c>
      <c r="I206" s="20" t="n">
        <v>2.81504</v>
      </c>
    </row>
    <row r="207">
      <c r="A207" s="22" t="n">
        <v>43822</v>
      </c>
      <c r="B207" s="22" t="n">
        <v>43828</v>
      </c>
      <c r="C207">
        <f>TEXT(A207,"yyyy-mm")</f>
        <v/>
      </c>
      <c r="D207" s="20" t="n">
        <v>2.67703</v>
      </c>
      <c r="F207" s="22" t="n">
        <v>43801</v>
      </c>
      <c r="G207" s="22" t="n">
        <v>43807</v>
      </c>
      <c r="H207">
        <f>TEXT(F207,"yyyy-mm")</f>
        <v/>
      </c>
      <c r="I207" s="20" t="n">
        <v>2.82469</v>
      </c>
    </row>
    <row r="208">
      <c r="A208" s="22" t="n">
        <v>43829</v>
      </c>
      <c r="B208" s="22" t="n">
        <v>43835</v>
      </c>
      <c r="C208">
        <f>TEXT(A208,"yyyy-mm")</f>
        <v/>
      </c>
      <c r="D208" s="20" t="n">
        <v>2.68391</v>
      </c>
      <c r="F208" s="22" t="n">
        <v>43808</v>
      </c>
      <c r="G208" s="22" t="n">
        <v>43814</v>
      </c>
      <c r="H208">
        <f>TEXT(F208,"yyyy-mm")</f>
        <v/>
      </c>
      <c r="I208" s="20" t="n">
        <v>2.82785</v>
      </c>
    </row>
    <row r="209">
      <c r="A209" s="22" t="n">
        <v>43836</v>
      </c>
      <c r="B209" s="22" t="n">
        <v>43842</v>
      </c>
      <c r="C209">
        <f>TEXT(A209,"yyyy-mm")</f>
        <v/>
      </c>
      <c r="D209" s="20" t="n">
        <v>2.67154</v>
      </c>
      <c r="F209" s="22" t="n">
        <v>43815</v>
      </c>
      <c r="G209" s="22" t="n">
        <v>43821</v>
      </c>
      <c r="H209">
        <f>TEXT(F209,"yyyy-mm")</f>
        <v/>
      </c>
      <c r="I209" s="20" t="n">
        <v>2.81585</v>
      </c>
    </row>
    <row r="210">
      <c r="A210" s="22" t="n">
        <v>43843</v>
      </c>
      <c r="B210" s="22" t="n">
        <v>43849</v>
      </c>
      <c r="C210">
        <f>TEXT(A210,"yyyy-mm")</f>
        <v/>
      </c>
      <c r="D210" s="20" t="n">
        <v>2.6262</v>
      </c>
      <c r="F210" s="22" t="n">
        <v>43822</v>
      </c>
      <c r="G210" s="22" t="n">
        <v>43828</v>
      </c>
      <c r="H210">
        <f>TEXT(F210,"yyyy-mm")</f>
        <v/>
      </c>
      <c r="I210" s="20" t="n">
        <v>2.82336</v>
      </c>
    </row>
    <row r="211">
      <c r="A211" s="22" t="n">
        <v>43850</v>
      </c>
      <c r="B211" s="22" t="n">
        <v>43856</v>
      </c>
      <c r="C211">
        <f>TEXT(A211,"yyyy-mm")</f>
        <v/>
      </c>
      <c r="D211" s="20" t="n">
        <v>2.57935</v>
      </c>
      <c r="F211" s="22" t="n">
        <v>43829</v>
      </c>
      <c r="G211" s="22" t="n">
        <v>43835</v>
      </c>
      <c r="H211">
        <f>TEXT(F211,"yyyy-mm")</f>
        <v/>
      </c>
      <c r="I211" s="20" t="n">
        <v>2.83383</v>
      </c>
    </row>
    <row r="212">
      <c r="A212" s="22" t="n">
        <v>43857</v>
      </c>
      <c r="B212" s="22" t="n">
        <v>43863</v>
      </c>
      <c r="C212">
        <f>TEXT(A212,"yyyy-mm")</f>
        <v/>
      </c>
      <c r="D212" s="20" t="n">
        <v>2.48528</v>
      </c>
      <c r="F212" s="22" t="n">
        <v>43836</v>
      </c>
      <c r="G212" s="22" t="n">
        <v>43842</v>
      </c>
      <c r="H212">
        <f>TEXT(F212,"yyyy-mm")</f>
        <v/>
      </c>
      <c r="I212" s="20" t="n">
        <v>2.82973</v>
      </c>
    </row>
    <row r="213">
      <c r="A213" s="22" t="n">
        <v>43864</v>
      </c>
      <c r="B213" s="22" t="n">
        <v>43870</v>
      </c>
      <c r="C213">
        <f>TEXT(A213,"yyyy-mm")</f>
        <v/>
      </c>
      <c r="D213" s="20" t="n">
        <v>2.41082</v>
      </c>
      <c r="F213" s="22" t="n">
        <v>43843</v>
      </c>
      <c r="G213" s="22" t="n">
        <v>43849</v>
      </c>
      <c r="H213">
        <f>TEXT(F213,"yyyy-mm")</f>
        <v/>
      </c>
      <c r="I213" s="20" t="n">
        <v>2.77634</v>
      </c>
    </row>
    <row r="214">
      <c r="A214" s="22" t="n">
        <v>43871</v>
      </c>
      <c r="B214" s="22" t="n">
        <v>43877</v>
      </c>
      <c r="C214">
        <f>TEXT(A214,"yyyy-mm")</f>
        <v/>
      </c>
      <c r="D214" s="20" t="n">
        <v>2.37129</v>
      </c>
      <c r="F214" s="22" t="n">
        <v>43850</v>
      </c>
      <c r="G214" s="22" t="n">
        <v>43856</v>
      </c>
      <c r="H214">
        <f>TEXT(F214,"yyyy-mm")</f>
        <v/>
      </c>
      <c r="I214" s="20" t="n">
        <v>2.76143</v>
      </c>
    </row>
    <row r="215">
      <c r="A215" s="22" t="n">
        <v>43878</v>
      </c>
      <c r="B215" s="22" t="n">
        <v>43884</v>
      </c>
      <c r="C215">
        <f>TEXT(A215,"yyyy-mm")</f>
        <v/>
      </c>
      <c r="D215" s="20" t="n">
        <v>2.37244</v>
      </c>
      <c r="F215" s="22" t="n">
        <v>43857</v>
      </c>
      <c r="G215" s="22" t="n">
        <v>43863</v>
      </c>
      <c r="H215">
        <f>TEXT(F215,"yyyy-mm")</f>
        <v/>
      </c>
      <c r="I215" s="20" t="n">
        <v>2.73205</v>
      </c>
    </row>
    <row r="216">
      <c r="A216" s="22" t="n">
        <v>43885</v>
      </c>
      <c r="B216" s="22" t="n">
        <v>43891</v>
      </c>
      <c r="C216">
        <f>TEXT(A216,"yyyy-mm")</f>
        <v/>
      </c>
      <c r="D216" s="20" t="n">
        <v>2.33442</v>
      </c>
      <c r="F216" s="22" t="n">
        <v>43864</v>
      </c>
      <c r="G216" s="22" t="n">
        <v>43870</v>
      </c>
      <c r="H216">
        <f>TEXT(F216,"yyyy-mm")</f>
        <v/>
      </c>
      <c r="I216" s="20" t="n">
        <v>2.65872</v>
      </c>
    </row>
    <row r="217">
      <c r="A217" s="22" t="n">
        <v>43892</v>
      </c>
      <c r="B217" s="22" t="n">
        <v>43898</v>
      </c>
      <c r="C217">
        <f>TEXT(A217,"yyyy-mm")</f>
        <v/>
      </c>
      <c r="D217" s="20" t="n">
        <v>2.26234</v>
      </c>
      <c r="F217" s="22" t="n">
        <v>43871</v>
      </c>
      <c r="G217" s="22" t="n">
        <v>43877</v>
      </c>
      <c r="H217">
        <f>TEXT(F217,"yyyy-mm")</f>
        <v/>
      </c>
      <c r="I217" s="20" t="n">
        <v>2.6198</v>
      </c>
    </row>
    <row r="218">
      <c r="A218" s="22" t="n">
        <v>43899</v>
      </c>
      <c r="B218" s="22" t="n">
        <v>43905</v>
      </c>
      <c r="C218">
        <f>TEXT(A218,"yyyy-mm")</f>
        <v/>
      </c>
      <c r="D218" s="20" t="n">
        <v>2.20397</v>
      </c>
      <c r="F218" s="22" t="n">
        <v>43878</v>
      </c>
      <c r="G218" s="22" t="n">
        <v>43884</v>
      </c>
      <c r="H218">
        <f>TEXT(F218,"yyyy-mm")</f>
        <v/>
      </c>
      <c r="I218" s="20" t="n">
        <v>2.63912</v>
      </c>
    </row>
    <row r="219">
      <c r="A219" s="22" t="n">
        <v>43906</v>
      </c>
      <c r="B219" s="22" t="n">
        <v>43912</v>
      </c>
      <c r="C219">
        <f>TEXT(A219,"yyyy-mm")</f>
        <v/>
      </c>
      <c r="D219" s="20" t="n">
        <v>2.07623</v>
      </c>
      <c r="F219" s="22" t="n">
        <v>43885</v>
      </c>
      <c r="G219" s="22" t="n">
        <v>43891</v>
      </c>
      <c r="H219">
        <f>TEXT(F219,"yyyy-mm")</f>
        <v/>
      </c>
      <c r="I219" s="20" t="n">
        <v>2.6512</v>
      </c>
    </row>
    <row r="220">
      <c r="A220" s="22" t="n">
        <v>43913</v>
      </c>
      <c r="B220" s="22" t="n">
        <v>43919</v>
      </c>
      <c r="C220">
        <f>TEXT(A220,"yyyy-mm")</f>
        <v/>
      </c>
      <c r="D220" s="20" t="n">
        <v>2.0003</v>
      </c>
      <c r="F220" s="22" t="n">
        <v>43892</v>
      </c>
      <c r="G220" s="22" t="n">
        <v>43898</v>
      </c>
      <c r="H220">
        <f>TEXT(F220,"yyyy-mm")</f>
        <v/>
      </c>
      <c r="I220" s="20" t="n">
        <v>2.59438</v>
      </c>
    </row>
    <row r="221">
      <c r="A221" s="22" t="n">
        <v>43920</v>
      </c>
      <c r="B221" s="22" t="n">
        <v>43926</v>
      </c>
      <c r="C221">
        <f>TEXT(A221,"yyyy-mm")</f>
        <v/>
      </c>
      <c r="D221" s="20" t="n">
        <v>1.95918</v>
      </c>
      <c r="F221" s="22" t="n">
        <v>43899</v>
      </c>
      <c r="G221" s="22" t="n">
        <v>43905</v>
      </c>
      <c r="H221">
        <f>TEXT(F221,"yyyy-mm")</f>
        <v/>
      </c>
      <c r="I221" s="20" t="n">
        <v>2.50828</v>
      </c>
    </row>
    <row r="222">
      <c r="A222" s="22" t="n">
        <v>43927</v>
      </c>
      <c r="B222" s="22" t="n">
        <v>43933</v>
      </c>
      <c r="C222">
        <f>TEXT(A222,"yyyy-mm")</f>
        <v/>
      </c>
      <c r="D222" s="20" t="n">
        <v>1.94646</v>
      </c>
      <c r="F222" s="22" t="n">
        <v>43906</v>
      </c>
      <c r="G222" s="22" t="n">
        <v>43912</v>
      </c>
      <c r="H222">
        <f>TEXT(F222,"yyyy-mm")</f>
        <v/>
      </c>
      <c r="I222" s="20" t="n">
        <v>2.33828</v>
      </c>
    </row>
    <row r="223">
      <c r="A223" s="22" t="n">
        <v>43934</v>
      </c>
      <c r="B223" s="22" t="n">
        <v>43940</v>
      </c>
      <c r="C223">
        <f>TEXT(A223,"yyyy-mm")</f>
        <v/>
      </c>
      <c r="D223" s="20" t="n">
        <v>1.89539</v>
      </c>
      <c r="F223" s="22" t="n">
        <v>43913</v>
      </c>
      <c r="G223" s="22" t="n">
        <v>43919</v>
      </c>
      <c r="H223">
        <f>TEXT(F223,"yyyy-mm")</f>
        <v/>
      </c>
      <c r="I223" s="20" t="n">
        <v>2.12989</v>
      </c>
    </row>
    <row r="224">
      <c r="A224" s="22" t="n">
        <v>43941</v>
      </c>
      <c r="B224" s="22" t="n">
        <v>43947</v>
      </c>
      <c r="C224">
        <f>TEXT(A224,"yyyy-mm")</f>
        <v/>
      </c>
      <c r="D224" s="20" t="n">
        <v>1.80767</v>
      </c>
      <c r="F224" s="22" t="n">
        <v>43920</v>
      </c>
      <c r="G224" s="22" t="n">
        <v>43926</v>
      </c>
      <c r="H224">
        <f>TEXT(F224,"yyyy-mm")</f>
        <v/>
      </c>
      <c r="I224" s="20" t="n">
        <v>1.96341</v>
      </c>
    </row>
    <row r="225">
      <c r="A225" s="22" t="n">
        <v>43948</v>
      </c>
      <c r="B225" s="22" t="n">
        <v>43954</v>
      </c>
      <c r="C225">
        <f>TEXT(A225,"yyyy-mm")</f>
        <v/>
      </c>
      <c r="D225" s="20" t="n">
        <v>1.67356</v>
      </c>
      <c r="F225" s="22" t="n">
        <v>43927</v>
      </c>
      <c r="G225" s="22" t="n">
        <v>43933</v>
      </c>
      <c r="H225">
        <f>TEXT(F225,"yyyy-mm")</f>
        <v/>
      </c>
      <c r="I225" s="20" t="n">
        <v>1.99157</v>
      </c>
    </row>
    <row r="226">
      <c r="A226" s="22" t="n">
        <v>43955</v>
      </c>
      <c r="B226" s="22" t="n">
        <v>43961</v>
      </c>
      <c r="C226">
        <f>TEXT(A226,"yyyy-mm")</f>
        <v/>
      </c>
      <c r="D226" s="20" t="n">
        <v>1.65937</v>
      </c>
      <c r="F226" s="22" t="n">
        <v>43934</v>
      </c>
      <c r="G226" s="22" t="n">
        <v>43940</v>
      </c>
      <c r="H226">
        <f>TEXT(F226,"yyyy-mm")</f>
        <v/>
      </c>
      <c r="I226" s="20" t="n">
        <v>1.92612</v>
      </c>
    </row>
    <row r="227">
      <c r="A227" s="22" t="n">
        <v>43962</v>
      </c>
      <c r="B227" s="22" t="n">
        <v>43968</v>
      </c>
      <c r="C227">
        <f>TEXT(A227,"yyyy-mm")</f>
        <v/>
      </c>
      <c r="D227" s="20" t="n">
        <v>1.65442</v>
      </c>
      <c r="F227" s="22" t="n">
        <v>43941</v>
      </c>
      <c r="G227" s="22" t="n">
        <v>43947</v>
      </c>
      <c r="H227">
        <f>TEXT(F227,"yyyy-mm")</f>
        <v/>
      </c>
      <c r="I227" s="20" t="n">
        <v>1.84842</v>
      </c>
    </row>
    <row r="228">
      <c r="A228" s="22" t="n">
        <v>43969</v>
      </c>
      <c r="B228" s="22" t="n">
        <v>43975</v>
      </c>
      <c r="C228">
        <f>TEXT(A228,"yyyy-mm")</f>
        <v/>
      </c>
      <c r="D228" s="20" t="n">
        <v>1.73472</v>
      </c>
      <c r="F228" s="22" t="n">
        <v>43948</v>
      </c>
      <c r="G228" s="22" t="n">
        <v>43954</v>
      </c>
      <c r="H228">
        <f>TEXT(F228,"yyyy-mm")</f>
        <v/>
      </c>
      <c r="I228" s="20" t="n">
        <v>1.8149</v>
      </c>
    </row>
    <row r="229">
      <c r="A229" s="22" t="n">
        <v>43976</v>
      </c>
      <c r="B229" s="22" t="n">
        <v>43982</v>
      </c>
      <c r="C229">
        <f>TEXT(A229,"yyyy-mm")</f>
        <v/>
      </c>
      <c r="D229" s="20" t="n">
        <v>1.8029</v>
      </c>
      <c r="F229" s="22" t="n">
        <v>43955</v>
      </c>
      <c r="G229" s="22" t="n">
        <v>43961</v>
      </c>
      <c r="H229">
        <f>TEXT(F229,"yyyy-mm")</f>
        <v/>
      </c>
      <c r="I229" s="20" t="n">
        <v>1.87451</v>
      </c>
    </row>
    <row r="230">
      <c r="A230" s="22" t="n">
        <v>43983</v>
      </c>
      <c r="B230" s="22" t="n">
        <v>43989</v>
      </c>
      <c r="C230">
        <f>TEXT(A230,"yyyy-mm")</f>
        <v/>
      </c>
      <c r="D230" s="20" t="n">
        <v>1.85631</v>
      </c>
      <c r="F230" s="22" t="n">
        <v>43962</v>
      </c>
      <c r="G230" s="22" t="n">
        <v>43968</v>
      </c>
      <c r="H230">
        <f>TEXT(F230,"yyyy-mm")</f>
        <v/>
      </c>
      <c r="I230" s="20" t="n">
        <v>1.94566</v>
      </c>
    </row>
    <row r="231">
      <c r="A231" s="22" t="n">
        <v>43990</v>
      </c>
      <c r="B231" s="22" t="n">
        <v>43996</v>
      </c>
      <c r="C231">
        <f>TEXT(A231,"yyyy-mm")</f>
        <v/>
      </c>
      <c r="D231" s="20" t="n">
        <v>1.85709</v>
      </c>
      <c r="F231" s="22" t="n">
        <v>43969</v>
      </c>
      <c r="G231" s="22" t="n">
        <v>43975</v>
      </c>
      <c r="H231">
        <f>TEXT(F231,"yyyy-mm")</f>
        <v/>
      </c>
      <c r="I231" s="20" t="n">
        <v>2.09128</v>
      </c>
    </row>
    <row r="232">
      <c r="A232" s="22" t="n">
        <v>43997</v>
      </c>
      <c r="B232" s="22" t="n">
        <v>44003</v>
      </c>
      <c r="C232">
        <f>TEXT(A232,"yyyy-mm")</f>
        <v/>
      </c>
      <c r="D232" s="20" t="n">
        <v>1.90492</v>
      </c>
      <c r="F232" s="22" t="n">
        <v>43976</v>
      </c>
      <c r="G232" s="22" t="n">
        <v>43982</v>
      </c>
      <c r="H232">
        <f>TEXT(F232,"yyyy-mm")</f>
        <v/>
      </c>
      <c r="I232" s="20" t="n">
        <v>2.21021</v>
      </c>
    </row>
    <row r="233">
      <c r="A233" s="22" t="n">
        <v>44004</v>
      </c>
      <c r="B233" s="22" t="n">
        <v>44010</v>
      </c>
      <c r="C233">
        <f>TEXT(A233,"yyyy-mm")</f>
        <v/>
      </c>
      <c r="D233" s="20" t="n">
        <v>1.98317</v>
      </c>
      <c r="F233" s="22" t="n">
        <v>43983</v>
      </c>
      <c r="G233" s="22" t="n">
        <v>43989</v>
      </c>
      <c r="H233">
        <f>TEXT(F233,"yyyy-mm")</f>
        <v/>
      </c>
      <c r="I233" s="20" t="n">
        <v>2.22809</v>
      </c>
    </row>
    <row r="234">
      <c r="A234" s="22" t="n">
        <v>44011</v>
      </c>
      <c r="B234" s="22" t="n">
        <v>44017</v>
      </c>
      <c r="C234">
        <f>TEXT(A234,"yyyy-mm")</f>
        <v/>
      </c>
      <c r="D234" s="20" t="n">
        <v>2.02648</v>
      </c>
      <c r="F234" s="22" t="n">
        <v>43990</v>
      </c>
      <c r="G234" s="22" t="n">
        <v>43996</v>
      </c>
      <c r="H234">
        <f>TEXT(F234,"yyyy-mm")</f>
        <v/>
      </c>
      <c r="I234" s="20" t="n">
        <v>2.33146</v>
      </c>
    </row>
    <row r="235">
      <c r="A235" s="22" t="n">
        <v>44018</v>
      </c>
      <c r="B235" s="22" t="n">
        <v>44024</v>
      </c>
      <c r="C235">
        <f>TEXT(A235,"yyyy-mm")</f>
        <v/>
      </c>
      <c r="D235" s="20" t="n">
        <v>2.08296</v>
      </c>
      <c r="F235" s="22" t="n">
        <v>43997</v>
      </c>
      <c r="G235" s="22" t="n">
        <v>44003</v>
      </c>
      <c r="H235">
        <f>TEXT(F235,"yyyy-mm")</f>
        <v/>
      </c>
      <c r="I235" s="20" t="n">
        <v>2.3921</v>
      </c>
    </row>
    <row r="236">
      <c r="A236" s="22" t="n">
        <v>44025</v>
      </c>
      <c r="B236" s="22" t="n">
        <v>44031</v>
      </c>
      <c r="C236">
        <f>TEXT(A236,"yyyy-mm")</f>
        <v/>
      </c>
      <c r="D236" s="20" t="n">
        <v>2.11685</v>
      </c>
      <c r="F236" s="22" t="n">
        <v>44004</v>
      </c>
      <c r="G236" s="22" t="n">
        <v>44010</v>
      </c>
      <c r="H236">
        <f>TEXT(F236,"yyyy-mm")</f>
        <v/>
      </c>
      <c r="I236" s="20" t="n">
        <v>2.43307</v>
      </c>
    </row>
    <row r="237">
      <c r="A237" s="22" t="n">
        <v>44032</v>
      </c>
      <c r="B237" s="22" t="n">
        <v>44038</v>
      </c>
      <c r="C237">
        <f>TEXT(A237,"yyyy-mm")</f>
        <v/>
      </c>
      <c r="D237" s="20" t="n">
        <v>2.17646</v>
      </c>
      <c r="F237" s="22" t="n">
        <v>44011</v>
      </c>
      <c r="G237" s="22" t="n">
        <v>44017</v>
      </c>
      <c r="H237">
        <f>TEXT(F237,"yyyy-mm")</f>
        <v/>
      </c>
      <c r="I237" s="20" t="n">
        <v>2.46767</v>
      </c>
    </row>
    <row r="238">
      <c r="A238" s="22" t="n">
        <v>44039</v>
      </c>
      <c r="B238" s="22" t="n">
        <v>44045</v>
      </c>
      <c r="C238">
        <f>TEXT(A238,"yyyy-mm")</f>
        <v/>
      </c>
      <c r="D238" s="20" t="n">
        <v>2.18044</v>
      </c>
      <c r="F238" s="22" t="n">
        <v>44018</v>
      </c>
      <c r="G238" s="22" t="n">
        <v>44024</v>
      </c>
      <c r="H238">
        <f>TEXT(F238,"yyyy-mm")</f>
        <v/>
      </c>
      <c r="I238" s="20" t="n">
        <v>2.51887</v>
      </c>
    </row>
    <row r="239">
      <c r="A239" s="22" t="n">
        <v>44046</v>
      </c>
      <c r="B239" s="22" t="n">
        <v>44052</v>
      </c>
      <c r="C239">
        <f>TEXT(A239,"yyyy-mm")</f>
        <v/>
      </c>
      <c r="D239" s="20" t="n">
        <v>2.18715</v>
      </c>
      <c r="F239" s="22" t="n">
        <v>44025</v>
      </c>
      <c r="G239" s="22" t="n">
        <v>44031</v>
      </c>
      <c r="H239">
        <f>TEXT(F239,"yyyy-mm")</f>
        <v/>
      </c>
      <c r="I239" s="20" t="n">
        <v>2.56613</v>
      </c>
    </row>
    <row r="240">
      <c r="A240" s="22" t="n">
        <v>44053</v>
      </c>
      <c r="B240" s="22" t="n">
        <v>44059</v>
      </c>
      <c r="C240">
        <f>TEXT(A240,"yyyy-mm")</f>
        <v/>
      </c>
      <c r="D240" s="20" t="n">
        <v>2.20518</v>
      </c>
      <c r="F240" s="22" t="n">
        <v>44032</v>
      </c>
      <c r="G240" s="22" t="n">
        <v>44038</v>
      </c>
      <c r="H240">
        <f>TEXT(F240,"yyyy-mm")</f>
        <v/>
      </c>
      <c r="I240" s="20" t="n">
        <v>2.631</v>
      </c>
    </row>
    <row r="241">
      <c r="A241" s="22" t="n">
        <v>44060</v>
      </c>
      <c r="B241" s="22" t="n">
        <v>44066</v>
      </c>
      <c r="C241">
        <f>TEXT(A241,"yyyy-mm")</f>
        <v/>
      </c>
      <c r="D241" s="20" t="n">
        <v>2.25853</v>
      </c>
      <c r="F241" s="22" t="n">
        <v>44039</v>
      </c>
      <c r="G241" s="22" t="n">
        <v>44045</v>
      </c>
      <c r="H241">
        <f>TEXT(F241,"yyyy-mm")</f>
        <v/>
      </c>
      <c r="I241" s="20" t="n">
        <v>2.59824</v>
      </c>
    </row>
    <row r="242">
      <c r="A242" s="22" t="n">
        <v>44067</v>
      </c>
      <c r="B242" s="22" t="n">
        <v>44073</v>
      </c>
      <c r="C242">
        <f>TEXT(A242,"yyyy-mm")</f>
        <v/>
      </c>
      <c r="D242" s="20" t="n">
        <v>2.30688</v>
      </c>
      <c r="F242" s="22" t="n">
        <v>44046</v>
      </c>
      <c r="G242" s="22" t="n">
        <v>44052</v>
      </c>
      <c r="H242">
        <f>TEXT(F242,"yyyy-mm")</f>
        <v/>
      </c>
      <c r="I242" s="20" t="n">
        <v>2.55469</v>
      </c>
    </row>
    <row r="243">
      <c r="A243" s="22" t="n">
        <v>44074</v>
      </c>
      <c r="B243" s="22" t="n">
        <v>44080</v>
      </c>
      <c r="C243">
        <f>TEXT(A243,"yyyy-mm")</f>
        <v/>
      </c>
      <c r="D243" s="20" t="n">
        <v>2.2512</v>
      </c>
      <c r="F243" s="22" t="n">
        <v>44053</v>
      </c>
      <c r="G243" s="22" t="n">
        <v>44059</v>
      </c>
      <c r="H243">
        <f>TEXT(F243,"yyyy-mm")</f>
        <v/>
      </c>
      <c r="I243" s="20" t="n">
        <v>2.6103</v>
      </c>
    </row>
    <row r="244">
      <c r="A244" s="22" t="n">
        <v>44081</v>
      </c>
      <c r="B244" s="22" t="n">
        <v>44087</v>
      </c>
      <c r="C244">
        <f>TEXT(A244,"yyyy-mm")</f>
        <v/>
      </c>
      <c r="D244" s="20" t="n">
        <v>2.08904</v>
      </c>
      <c r="F244" s="22" t="n">
        <v>44060</v>
      </c>
      <c r="G244" s="22" t="n">
        <v>44066</v>
      </c>
      <c r="H244">
        <f>TEXT(F244,"yyyy-mm")</f>
        <v/>
      </c>
      <c r="I244" s="20" t="n">
        <v>2.64977</v>
      </c>
    </row>
    <row r="245">
      <c r="A245" s="22" t="n">
        <v>44088</v>
      </c>
      <c r="B245" s="22" t="n">
        <v>44094</v>
      </c>
      <c r="C245">
        <f>TEXT(A245,"yyyy-mm")</f>
        <v/>
      </c>
      <c r="D245" s="20" t="n">
        <v>1.98056</v>
      </c>
      <c r="F245" s="22" t="n">
        <v>44067</v>
      </c>
      <c r="G245" s="22" t="n">
        <v>44073</v>
      </c>
      <c r="H245">
        <f>TEXT(F245,"yyyy-mm")</f>
        <v/>
      </c>
      <c r="I245" s="20" t="n">
        <v>2.72243</v>
      </c>
    </row>
    <row r="246">
      <c r="A246" s="22" t="n">
        <v>44095</v>
      </c>
      <c r="B246" s="22" t="n">
        <v>44101</v>
      </c>
      <c r="C246">
        <f>TEXT(A246,"yyyy-mm")</f>
        <v/>
      </c>
      <c r="D246" s="20" t="n">
        <v>1.98885</v>
      </c>
      <c r="F246" s="22" t="n">
        <v>44074</v>
      </c>
      <c r="G246" s="22" t="n">
        <v>44080</v>
      </c>
      <c r="H246">
        <f>TEXT(F246,"yyyy-mm")</f>
        <v/>
      </c>
      <c r="I246" s="20" t="n">
        <v>2.70672</v>
      </c>
    </row>
    <row r="247">
      <c r="A247" s="22" t="n">
        <v>44102</v>
      </c>
      <c r="B247" s="22" t="n">
        <v>44108</v>
      </c>
      <c r="C247">
        <f>TEXT(A247,"yyyy-mm")</f>
        <v/>
      </c>
      <c r="D247" s="20" t="n">
        <v>2.01128</v>
      </c>
      <c r="F247" s="22" t="n">
        <v>44081</v>
      </c>
      <c r="G247" s="22" t="n">
        <v>44087</v>
      </c>
      <c r="H247">
        <f>TEXT(F247,"yyyy-mm")</f>
        <v/>
      </c>
      <c r="I247" s="20" t="n">
        <v>2.582</v>
      </c>
    </row>
    <row r="248">
      <c r="A248" s="22" t="n">
        <v>44109</v>
      </c>
      <c r="B248" s="22" t="n">
        <v>44115</v>
      </c>
      <c r="C248">
        <f>TEXT(A248,"yyyy-mm")</f>
        <v/>
      </c>
      <c r="D248" s="20" t="n">
        <v>2.04972</v>
      </c>
      <c r="F248" s="22" t="n">
        <v>44088</v>
      </c>
      <c r="G248" s="22" t="n">
        <v>44094</v>
      </c>
      <c r="H248">
        <f>TEXT(F248,"yyyy-mm")</f>
        <v/>
      </c>
      <c r="I248" s="20" t="n">
        <v>2.50542</v>
      </c>
    </row>
    <row r="249">
      <c r="A249" s="22" t="n">
        <v>44116</v>
      </c>
      <c r="B249" s="22" t="n">
        <v>44122</v>
      </c>
      <c r="C249">
        <f>TEXT(A249,"yyyy-mm")</f>
        <v/>
      </c>
      <c r="D249" s="20" t="n">
        <v>2.11149</v>
      </c>
      <c r="F249" s="22" t="n">
        <v>44095</v>
      </c>
      <c r="G249" s="22" t="n">
        <v>44101</v>
      </c>
      <c r="H249">
        <f>TEXT(F249,"yyyy-mm")</f>
        <v/>
      </c>
      <c r="I249" s="20" t="n">
        <v>2.53349</v>
      </c>
    </row>
    <row r="250">
      <c r="A250" s="22" t="n">
        <v>44123</v>
      </c>
      <c r="B250" s="22" t="n">
        <v>44129</v>
      </c>
      <c r="C250">
        <f>TEXT(A250,"yyyy-mm")</f>
        <v/>
      </c>
      <c r="D250" s="20" t="n">
        <v>2.10701</v>
      </c>
      <c r="F250" s="22" t="n">
        <v>44102</v>
      </c>
      <c r="G250" s="22" t="n">
        <v>44108</v>
      </c>
      <c r="H250">
        <f>TEXT(F250,"yyyy-mm")</f>
        <v/>
      </c>
      <c r="I250" s="20" t="n">
        <v>2.60533</v>
      </c>
    </row>
    <row r="251">
      <c r="A251" s="22" t="n">
        <v>44130</v>
      </c>
      <c r="B251" s="22" t="n">
        <v>44136</v>
      </c>
      <c r="C251">
        <f>TEXT(A251,"yyyy-mm")</f>
        <v/>
      </c>
      <c r="D251" s="20" t="n">
        <v>2.04792</v>
      </c>
      <c r="F251" s="22" t="n">
        <v>44109</v>
      </c>
      <c r="G251" s="22" t="n">
        <v>44115</v>
      </c>
      <c r="H251">
        <f>TEXT(F251,"yyyy-mm")</f>
        <v/>
      </c>
      <c r="I251" s="20" t="n">
        <v>2.67169</v>
      </c>
    </row>
    <row r="252">
      <c r="A252" s="22" t="n">
        <v>44137</v>
      </c>
      <c r="B252" s="22" t="n">
        <v>44143</v>
      </c>
      <c r="C252">
        <f>TEXT(A252,"yyyy-mm")</f>
        <v/>
      </c>
      <c r="D252" s="20" t="n">
        <v>2.05613</v>
      </c>
      <c r="F252" s="22" t="n">
        <v>44116</v>
      </c>
      <c r="G252" s="22" t="n">
        <v>44122</v>
      </c>
      <c r="H252">
        <f>TEXT(F252,"yyyy-mm")</f>
        <v/>
      </c>
      <c r="I252" s="20" t="n">
        <v>2.69623</v>
      </c>
    </row>
    <row r="253">
      <c r="A253" s="22" t="n">
        <v>44144</v>
      </c>
      <c r="B253" s="22" t="n">
        <v>44150</v>
      </c>
      <c r="C253">
        <f>TEXT(A253,"yyyy-mm")</f>
        <v/>
      </c>
      <c r="D253" s="20" t="n">
        <v>2.08751</v>
      </c>
      <c r="F253" s="22" t="n">
        <v>44123</v>
      </c>
      <c r="G253" s="22" t="n">
        <v>44129</v>
      </c>
      <c r="H253">
        <f>TEXT(F253,"yyyy-mm")</f>
        <v/>
      </c>
      <c r="I253" s="20" t="n">
        <v>2.6419</v>
      </c>
    </row>
    <row r="254">
      <c r="A254" s="22" t="n">
        <v>44151</v>
      </c>
      <c r="B254" s="22" t="n">
        <v>44157</v>
      </c>
      <c r="C254">
        <f>TEXT(A254,"yyyy-mm")</f>
        <v/>
      </c>
      <c r="D254" s="20" t="n">
        <v>2.11441</v>
      </c>
      <c r="F254" s="22" t="n">
        <v>44130</v>
      </c>
      <c r="G254" s="22" t="n">
        <v>44136</v>
      </c>
      <c r="H254">
        <f>TEXT(F254,"yyyy-mm")</f>
        <v/>
      </c>
      <c r="I254" s="20" t="n">
        <v>2.57685</v>
      </c>
    </row>
    <row r="255">
      <c r="A255" s="22" t="n">
        <v>44158</v>
      </c>
      <c r="B255" s="22" t="n">
        <v>44164</v>
      </c>
      <c r="C255">
        <f>TEXT(A255,"yyyy-mm")</f>
        <v/>
      </c>
      <c r="D255" s="20" t="n">
        <v>2.16861</v>
      </c>
      <c r="F255" s="22" t="n">
        <v>44137</v>
      </c>
      <c r="G255" s="22" t="n">
        <v>44143</v>
      </c>
      <c r="H255">
        <f>TEXT(F255,"yyyy-mm")</f>
        <v/>
      </c>
      <c r="I255" s="20" t="n">
        <v>2.48898</v>
      </c>
    </row>
    <row r="256">
      <c r="A256" s="22" t="n">
        <v>44165</v>
      </c>
      <c r="B256" s="22" t="n">
        <v>44171</v>
      </c>
      <c r="C256">
        <f>TEXT(A256,"yyyy-mm")</f>
        <v/>
      </c>
      <c r="D256" s="20" t="n">
        <v>2.21844</v>
      </c>
      <c r="F256" s="22" t="n">
        <v>44144</v>
      </c>
      <c r="G256" s="22" t="n">
        <v>44150</v>
      </c>
      <c r="H256">
        <f>TEXT(F256,"yyyy-mm")</f>
        <v/>
      </c>
      <c r="I256" s="20" t="n">
        <v>2.53043</v>
      </c>
    </row>
    <row r="257">
      <c r="A257" s="22" t="n">
        <v>44172</v>
      </c>
      <c r="B257" s="22" t="n">
        <v>44178</v>
      </c>
      <c r="C257">
        <f>TEXT(A257,"yyyy-mm")</f>
        <v/>
      </c>
      <c r="D257" s="20" t="n">
        <v>2.22075</v>
      </c>
      <c r="F257" s="22" t="n">
        <v>44151</v>
      </c>
      <c r="G257" s="22" t="n">
        <v>44157</v>
      </c>
      <c r="H257">
        <f>TEXT(F257,"yyyy-mm")</f>
        <v/>
      </c>
      <c r="I257" s="20" t="n">
        <v>2.57297</v>
      </c>
    </row>
    <row r="258">
      <c r="A258" s="22" t="n">
        <v>44179</v>
      </c>
      <c r="B258" s="22" t="n">
        <v>44185</v>
      </c>
      <c r="C258">
        <f>TEXT(A258,"yyyy-mm")</f>
        <v/>
      </c>
      <c r="D258" s="20" t="n">
        <v>2.25876</v>
      </c>
      <c r="F258" s="22" t="n">
        <v>44158</v>
      </c>
      <c r="G258" s="22" t="n">
        <v>44164</v>
      </c>
      <c r="H258">
        <f>TEXT(F258,"yyyy-mm")</f>
        <v/>
      </c>
      <c r="I258" s="20" t="n">
        <v>2.60287</v>
      </c>
    </row>
    <row r="259">
      <c r="A259" s="22" t="n">
        <v>44186</v>
      </c>
      <c r="B259" s="22" t="n">
        <v>44192</v>
      </c>
      <c r="C259">
        <f>TEXT(A259,"yyyy-mm")</f>
        <v/>
      </c>
      <c r="D259" s="20" t="n">
        <v>2.28736</v>
      </c>
      <c r="F259" s="22" t="n">
        <v>44165</v>
      </c>
      <c r="G259" s="22" t="n">
        <v>44171</v>
      </c>
      <c r="H259">
        <f>TEXT(F259,"yyyy-mm")</f>
        <v/>
      </c>
      <c r="I259" s="20" t="n">
        <v>2.63888</v>
      </c>
    </row>
    <row r="260">
      <c r="A260" s="22" t="n">
        <v>44193</v>
      </c>
      <c r="B260" s="22" t="n">
        <v>44199</v>
      </c>
      <c r="C260">
        <f>TEXT(A260,"yyyy-mm")</f>
        <v/>
      </c>
      <c r="D260" s="20" t="n">
        <v>2.35184</v>
      </c>
      <c r="F260" s="22" t="n">
        <v>44172</v>
      </c>
      <c r="G260" s="22" t="n">
        <v>44178</v>
      </c>
      <c r="H260">
        <f>TEXT(F260,"yyyy-mm")</f>
        <v/>
      </c>
      <c r="I260" s="20" t="n">
        <v>2.61042</v>
      </c>
    </row>
    <row r="261">
      <c r="A261" s="22" t="n">
        <v>44200</v>
      </c>
      <c r="B261" s="22" t="n">
        <v>44206</v>
      </c>
      <c r="C261">
        <f>TEXT(A261,"yyyy-mm")</f>
        <v/>
      </c>
      <c r="D261" s="20" t="n">
        <v>2.37167</v>
      </c>
      <c r="F261" s="22" t="n">
        <v>44179</v>
      </c>
      <c r="G261" s="22" t="n">
        <v>44185</v>
      </c>
      <c r="H261">
        <f>TEXT(F261,"yyyy-mm")</f>
        <v/>
      </c>
      <c r="I261" s="20" t="n">
        <v>2.63532</v>
      </c>
    </row>
    <row r="262">
      <c r="A262" s="22" t="n">
        <v>44207</v>
      </c>
      <c r="B262" s="22" t="n">
        <v>44213</v>
      </c>
      <c r="C262">
        <f>TEXT(A262,"yyyy-mm")</f>
        <v/>
      </c>
      <c r="D262" s="20" t="n">
        <v>2.36711</v>
      </c>
      <c r="F262" s="22" t="n">
        <v>44186</v>
      </c>
      <c r="G262" s="22" t="n">
        <v>44192</v>
      </c>
      <c r="H262">
        <f>TEXT(F262,"yyyy-mm")</f>
        <v/>
      </c>
      <c r="I262" s="20" t="n">
        <v>2.66066</v>
      </c>
    </row>
    <row r="263">
      <c r="A263" s="22" t="n">
        <v>44214</v>
      </c>
      <c r="B263" s="22" t="n">
        <v>44220</v>
      </c>
      <c r="C263">
        <f>TEXT(A263,"yyyy-mm")</f>
        <v/>
      </c>
      <c r="D263" s="20" t="n">
        <v>2.36614</v>
      </c>
      <c r="F263" s="22" t="n">
        <v>44193</v>
      </c>
      <c r="G263" s="22" t="n">
        <v>44199</v>
      </c>
      <c r="H263">
        <f>TEXT(F263,"yyyy-mm")</f>
        <v/>
      </c>
      <c r="I263" s="20" t="n">
        <v>2.72228</v>
      </c>
    </row>
    <row r="264">
      <c r="A264" s="22" t="n">
        <v>44221</v>
      </c>
      <c r="B264" s="22" t="n">
        <v>44227</v>
      </c>
      <c r="C264">
        <f>TEXT(A264,"yyyy-mm")</f>
        <v/>
      </c>
      <c r="D264" s="20" t="n">
        <v>2.42314</v>
      </c>
      <c r="F264" s="22" t="n">
        <v>44200</v>
      </c>
      <c r="G264" s="22" t="n">
        <v>44206</v>
      </c>
      <c r="H264">
        <f>TEXT(F264,"yyyy-mm")</f>
        <v/>
      </c>
      <c r="I264" s="20" t="n">
        <v>2.86308</v>
      </c>
    </row>
    <row r="265">
      <c r="A265" s="22" t="n">
        <v>44228</v>
      </c>
      <c r="B265" s="22" t="n">
        <v>44234</v>
      </c>
      <c r="C265">
        <f>TEXT(A265,"yyyy-mm")</f>
        <v/>
      </c>
      <c r="D265" s="20" t="n">
        <v>2.46828</v>
      </c>
      <c r="F265" s="22" t="n">
        <v>44207</v>
      </c>
      <c r="G265" s="22" t="n">
        <v>44213</v>
      </c>
      <c r="H265">
        <f>TEXT(F265,"yyyy-mm")</f>
        <v/>
      </c>
      <c r="I265" s="20" t="n">
        <v>2.85357</v>
      </c>
    </row>
    <row r="266">
      <c r="A266" s="22" t="n">
        <v>44235</v>
      </c>
      <c r="B266" s="22" t="n">
        <v>44241</v>
      </c>
      <c r="C266">
        <f>TEXT(A266,"yyyy-mm")</f>
        <v/>
      </c>
      <c r="D266" s="20" t="n">
        <v>2.5705</v>
      </c>
      <c r="F266" s="22" t="n">
        <v>44214</v>
      </c>
      <c r="G266" s="22" t="n">
        <v>44220</v>
      </c>
      <c r="H266">
        <f>TEXT(F266,"yyyy-mm")</f>
        <v/>
      </c>
      <c r="I266" s="20" t="n">
        <v>2.96926</v>
      </c>
    </row>
    <row r="267">
      <c r="A267" s="22" t="n">
        <v>44242</v>
      </c>
      <c r="B267" s="22" t="n">
        <v>44248</v>
      </c>
      <c r="C267">
        <f>TEXT(A267,"yyyy-mm")</f>
        <v/>
      </c>
      <c r="D267" s="20" t="n">
        <v>2.69458</v>
      </c>
      <c r="F267" s="22" t="n">
        <v>44221</v>
      </c>
      <c r="G267" s="22" t="n">
        <v>44227</v>
      </c>
      <c r="H267">
        <f>TEXT(F267,"yyyy-mm")</f>
        <v/>
      </c>
      <c r="I267" s="20" t="n">
        <v>3.09116</v>
      </c>
    </row>
    <row r="268">
      <c r="A268" s="22" t="n">
        <v>44249</v>
      </c>
      <c r="B268" s="22" t="n">
        <v>44255</v>
      </c>
      <c r="C268">
        <f>TEXT(A268,"yyyy-mm")</f>
        <v/>
      </c>
      <c r="D268" s="20" t="n">
        <v>2.93332</v>
      </c>
      <c r="F268" s="22" t="n">
        <v>44228</v>
      </c>
      <c r="G268" s="22" t="n">
        <v>44234</v>
      </c>
      <c r="H268">
        <f>TEXT(F268,"yyyy-mm")</f>
        <v/>
      </c>
      <c r="I268" s="20" t="n">
        <v>3.11492</v>
      </c>
    </row>
    <row r="269">
      <c r="A269" s="22" t="n">
        <v>44256</v>
      </c>
      <c r="B269" s="22" t="n">
        <v>44262</v>
      </c>
      <c r="C269">
        <f>TEXT(A269,"yyyy-mm")</f>
        <v/>
      </c>
      <c r="D269" s="20" t="n">
        <v>2.7304</v>
      </c>
      <c r="F269" s="22" t="n">
        <v>44235</v>
      </c>
      <c r="G269" s="22" t="n">
        <v>44241</v>
      </c>
      <c r="H269">
        <f>TEXT(F269,"yyyy-mm")</f>
        <v/>
      </c>
      <c r="I269" s="20" t="n">
        <v>3.22148</v>
      </c>
    </row>
    <row r="270">
      <c r="A270" s="22" t="n">
        <v>44263</v>
      </c>
      <c r="B270" s="22" t="n">
        <v>44269</v>
      </c>
      <c r="C270">
        <f>TEXT(A270,"yyyy-mm")</f>
        <v/>
      </c>
      <c r="D270" s="20" t="n">
        <v>2.81113</v>
      </c>
      <c r="F270" s="22" t="n">
        <v>44242</v>
      </c>
      <c r="G270" s="22" t="n">
        <v>44248</v>
      </c>
      <c r="H270">
        <f>TEXT(F270,"yyyy-mm")</f>
        <v/>
      </c>
      <c r="I270" s="20" t="n">
        <v>3.32636</v>
      </c>
    </row>
    <row r="271">
      <c r="A271" s="22" t="n">
        <v>44270</v>
      </c>
      <c r="B271" s="22" t="n">
        <v>44276</v>
      </c>
      <c r="C271">
        <f>TEXT(A271,"yyyy-mm")</f>
        <v/>
      </c>
      <c r="D271" s="20" t="n">
        <v>2.86083</v>
      </c>
      <c r="F271" s="22" t="n">
        <v>44249</v>
      </c>
      <c r="G271" s="22" t="n">
        <v>44255</v>
      </c>
      <c r="H271">
        <f>TEXT(F271,"yyyy-mm")</f>
        <v/>
      </c>
      <c r="I271" s="20" t="n">
        <v>3.49922</v>
      </c>
    </row>
    <row r="272">
      <c r="A272" s="22" t="n">
        <v>44277</v>
      </c>
      <c r="B272" s="22" t="n">
        <v>44283</v>
      </c>
      <c r="C272">
        <f>TEXT(A272,"yyyy-mm")</f>
        <v/>
      </c>
      <c r="D272" s="20" t="n">
        <v>2.78747</v>
      </c>
      <c r="F272" s="22" t="n">
        <v>44256</v>
      </c>
      <c r="G272" s="22" t="n">
        <v>44262</v>
      </c>
      <c r="H272">
        <f>TEXT(F272,"yyyy-mm")</f>
        <v/>
      </c>
      <c r="I272" s="20" t="n">
        <v>3.57895</v>
      </c>
    </row>
    <row r="273">
      <c r="A273" s="22" t="n">
        <v>44284</v>
      </c>
      <c r="B273" s="22" t="n">
        <v>44290</v>
      </c>
      <c r="C273">
        <f>TEXT(A273,"yyyy-mm")</f>
        <v/>
      </c>
      <c r="D273" s="20" t="n">
        <v>2.73713</v>
      </c>
      <c r="F273" s="22" t="n">
        <v>44263</v>
      </c>
      <c r="G273" s="22" t="n">
        <v>44269</v>
      </c>
      <c r="H273">
        <f>TEXT(F273,"yyyy-mm")</f>
        <v/>
      </c>
      <c r="I273" s="20" t="n">
        <v>3.76047</v>
      </c>
    </row>
    <row r="274">
      <c r="A274" s="22" t="n">
        <v>44291</v>
      </c>
      <c r="B274" s="22" t="n">
        <v>44297</v>
      </c>
      <c r="C274">
        <f>TEXT(A274,"yyyy-mm")</f>
        <v/>
      </c>
      <c r="D274" s="20" t="n">
        <v>2.72623</v>
      </c>
      <c r="F274" s="22" t="n">
        <v>44270</v>
      </c>
      <c r="G274" s="22" t="n">
        <v>44276</v>
      </c>
      <c r="H274">
        <f>TEXT(F274,"yyyy-mm")</f>
        <v/>
      </c>
      <c r="I274" s="20" t="n">
        <v>3.82896</v>
      </c>
    </row>
    <row r="275">
      <c r="A275" s="22" t="n">
        <v>44298</v>
      </c>
      <c r="B275" s="22" t="n">
        <v>44304</v>
      </c>
      <c r="C275">
        <f>TEXT(A275,"yyyy-mm")</f>
        <v/>
      </c>
      <c r="D275" s="20" t="n">
        <v>2.7143</v>
      </c>
      <c r="F275" s="22" t="n">
        <v>44277</v>
      </c>
      <c r="G275" s="22" t="n">
        <v>44283</v>
      </c>
      <c r="H275">
        <f>TEXT(F275,"yyyy-mm")</f>
        <v/>
      </c>
      <c r="I275" s="20" t="n">
        <v>3.68836</v>
      </c>
    </row>
    <row r="276">
      <c r="A276" s="22" t="n">
        <v>44305</v>
      </c>
      <c r="B276" s="22" t="n">
        <v>44311</v>
      </c>
      <c r="C276">
        <f>TEXT(A276,"yyyy-mm")</f>
        <v/>
      </c>
      <c r="D276" s="20" t="n">
        <v>2.75061</v>
      </c>
      <c r="F276" s="22" t="n">
        <v>44284</v>
      </c>
      <c r="G276" s="22" t="n">
        <v>44290</v>
      </c>
      <c r="H276">
        <f>TEXT(F276,"yyyy-mm")</f>
        <v/>
      </c>
      <c r="I276" s="20" t="n">
        <v>3.63084</v>
      </c>
    </row>
    <row r="277">
      <c r="A277" s="22" t="n">
        <v>44312</v>
      </c>
      <c r="B277" s="22" t="n">
        <v>44318</v>
      </c>
      <c r="C277">
        <f>TEXT(A277,"yyyy-mm")</f>
        <v/>
      </c>
      <c r="D277" s="20" t="n">
        <v>2.844</v>
      </c>
      <c r="F277" s="22" t="n">
        <v>44291</v>
      </c>
      <c r="G277" s="22" t="n">
        <v>44297</v>
      </c>
      <c r="H277">
        <f>TEXT(F277,"yyyy-mm")</f>
        <v/>
      </c>
      <c r="I277" s="20" t="n">
        <v>3.69376</v>
      </c>
    </row>
    <row r="278">
      <c r="A278" s="22" t="n">
        <v>44319</v>
      </c>
      <c r="B278" s="22" t="n">
        <v>44325</v>
      </c>
      <c r="C278">
        <f>TEXT(A278,"yyyy-mm")</f>
        <v/>
      </c>
      <c r="D278" s="20" t="n">
        <v>3.05244</v>
      </c>
      <c r="F278" s="22" t="n">
        <v>44298</v>
      </c>
      <c r="G278" s="22" t="n">
        <v>44304</v>
      </c>
      <c r="H278">
        <f>TEXT(F278,"yyyy-mm")</f>
        <v/>
      </c>
      <c r="I278" s="20" t="n">
        <v>3.65466</v>
      </c>
    </row>
    <row r="279">
      <c r="A279" s="22" t="n">
        <v>44326</v>
      </c>
      <c r="B279" s="22" t="n">
        <v>44332</v>
      </c>
      <c r="C279">
        <f>TEXT(A279,"yyyy-mm")</f>
        <v/>
      </c>
      <c r="D279" s="20" t="n">
        <v>3.0599</v>
      </c>
      <c r="F279" s="22" t="n">
        <v>44305</v>
      </c>
      <c r="G279" s="22" t="n">
        <v>44311</v>
      </c>
      <c r="H279">
        <f>TEXT(F279,"yyyy-mm")</f>
        <v/>
      </c>
      <c r="I279" s="20" t="n">
        <v>3.73599</v>
      </c>
    </row>
    <row r="280">
      <c r="A280" s="22" t="n">
        <v>44333</v>
      </c>
      <c r="B280" s="22" t="n">
        <v>44339</v>
      </c>
      <c r="C280">
        <f>TEXT(A280,"yyyy-mm")</f>
        <v/>
      </c>
      <c r="D280" s="20" t="n">
        <v>3.06624</v>
      </c>
      <c r="F280" s="22" t="n">
        <v>44312</v>
      </c>
      <c r="G280" s="22" t="n">
        <v>44318</v>
      </c>
      <c r="H280">
        <f>TEXT(F280,"yyyy-mm")</f>
        <v/>
      </c>
      <c r="I280" s="20" t="n">
        <v>3.68515</v>
      </c>
    </row>
    <row r="281">
      <c r="A281" s="22" t="n">
        <v>44340</v>
      </c>
      <c r="B281" s="22" t="n">
        <v>44346</v>
      </c>
      <c r="C281">
        <f>TEXT(A281,"yyyy-mm")</f>
        <v/>
      </c>
      <c r="D281" s="20" t="n">
        <v>3.05792</v>
      </c>
      <c r="F281" s="22" t="n">
        <v>44319</v>
      </c>
      <c r="G281" s="22" t="n">
        <v>44325</v>
      </c>
      <c r="H281">
        <f>TEXT(F281,"yyyy-mm")</f>
        <v/>
      </c>
      <c r="I281" s="20" t="n">
        <v>3.50364</v>
      </c>
    </row>
    <row r="282">
      <c r="A282" s="22" t="n">
        <v>44347</v>
      </c>
      <c r="B282" s="22" t="n">
        <v>44353</v>
      </c>
      <c r="C282">
        <f>TEXT(A282,"yyyy-mm")</f>
        <v/>
      </c>
      <c r="D282" s="20" t="n">
        <v>3.0528</v>
      </c>
      <c r="F282" s="22" t="n">
        <v>44326</v>
      </c>
      <c r="G282" s="22" t="n">
        <v>44332</v>
      </c>
      <c r="H282">
        <f>TEXT(F282,"yyyy-mm")</f>
        <v/>
      </c>
      <c r="I282" s="20" t="n">
        <v>3.51105</v>
      </c>
    </row>
    <row r="283">
      <c r="A283" s="22" t="n">
        <v>44354</v>
      </c>
      <c r="B283" s="22" t="n">
        <v>44360</v>
      </c>
      <c r="C283">
        <f>TEXT(A283,"yyyy-mm")</f>
        <v/>
      </c>
      <c r="D283" s="20" t="n">
        <v>3.0507</v>
      </c>
      <c r="F283" s="22" t="n">
        <v>44333</v>
      </c>
      <c r="G283" s="22" t="n">
        <v>44339</v>
      </c>
      <c r="H283">
        <f>TEXT(F283,"yyyy-mm")</f>
        <v/>
      </c>
      <c r="I283" s="20" t="n">
        <v>3.52744</v>
      </c>
    </row>
    <row r="284">
      <c r="A284" s="22" t="n">
        <v>44361</v>
      </c>
      <c r="B284" s="22" t="n">
        <v>44367</v>
      </c>
      <c r="C284">
        <f>TEXT(A284,"yyyy-mm")</f>
        <v/>
      </c>
      <c r="D284" s="20" t="n">
        <v>3.05449</v>
      </c>
      <c r="F284" s="22" t="n">
        <v>44340</v>
      </c>
      <c r="G284" s="22" t="n">
        <v>44346</v>
      </c>
      <c r="H284">
        <f>TEXT(F284,"yyyy-mm")</f>
        <v/>
      </c>
      <c r="I284" s="20" t="n">
        <v>3.50014</v>
      </c>
    </row>
    <row r="285">
      <c r="A285" s="22" t="n">
        <v>44368</v>
      </c>
      <c r="B285" s="22" t="n">
        <v>44374</v>
      </c>
      <c r="C285">
        <f>TEXT(A285,"yyyy-mm")</f>
        <v/>
      </c>
      <c r="D285" s="20" t="n">
        <v>3.05912</v>
      </c>
      <c r="F285" s="22" t="n">
        <v>44347</v>
      </c>
      <c r="G285" s="22" t="n">
        <v>44353</v>
      </c>
      <c r="H285">
        <f>TEXT(F285,"yyyy-mm")</f>
        <v/>
      </c>
      <c r="I285" s="20" t="n">
        <v>3.52602</v>
      </c>
    </row>
    <row r="286">
      <c r="A286" s="22" t="n">
        <v>44375</v>
      </c>
      <c r="B286" s="22" t="n">
        <v>44381</v>
      </c>
      <c r="C286">
        <f>TEXT(A286,"yyyy-mm")</f>
        <v/>
      </c>
      <c r="D286" s="20" t="n">
        <v>3.05674</v>
      </c>
      <c r="F286" s="22" t="n">
        <v>44354</v>
      </c>
      <c r="G286" s="22" t="n">
        <v>44360</v>
      </c>
      <c r="H286">
        <f>TEXT(F286,"yyyy-mm")</f>
        <v/>
      </c>
      <c r="I286" s="20" t="n">
        <v>3.5273</v>
      </c>
    </row>
    <row r="287">
      <c r="A287" s="22" t="n">
        <v>44382</v>
      </c>
      <c r="B287" s="22" t="n">
        <v>44388</v>
      </c>
      <c r="C287">
        <f>TEXT(A287,"yyyy-mm")</f>
        <v/>
      </c>
      <c r="D287" s="20" t="n">
        <v>3.13672</v>
      </c>
      <c r="F287" s="22" t="n">
        <v>44361</v>
      </c>
      <c r="G287" s="22" t="n">
        <v>44367</v>
      </c>
      <c r="H287">
        <f>TEXT(F287,"yyyy-mm")</f>
        <v/>
      </c>
      <c r="I287" s="20" t="n">
        <v>3.50188</v>
      </c>
    </row>
    <row r="288">
      <c r="A288" s="22" t="n">
        <v>44389</v>
      </c>
      <c r="B288" s="22" t="n">
        <v>44395</v>
      </c>
      <c r="C288">
        <f>TEXT(A288,"yyyy-mm")</f>
        <v/>
      </c>
      <c r="D288" s="20" t="n">
        <v>3.16258</v>
      </c>
      <c r="F288" s="22" t="n">
        <v>44368</v>
      </c>
      <c r="G288" s="22" t="n">
        <v>44374</v>
      </c>
      <c r="H288">
        <f>TEXT(F288,"yyyy-mm")</f>
        <v/>
      </c>
      <c r="I288" s="20" t="n">
        <v>3.46903</v>
      </c>
    </row>
    <row r="289">
      <c r="A289" s="22" t="n">
        <v>44396</v>
      </c>
      <c r="B289" s="22" t="n">
        <v>44402</v>
      </c>
      <c r="C289">
        <f>TEXT(A289,"yyyy-mm")</f>
        <v/>
      </c>
      <c r="D289" s="20" t="n">
        <v>3.17783</v>
      </c>
      <c r="F289" s="22" t="n">
        <v>44375</v>
      </c>
      <c r="G289" s="22" t="n">
        <v>44381</v>
      </c>
      <c r="H289">
        <f>TEXT(F289,"yyyy-mm")</f>
        <v/>
      </c>
      <c r="I289" s="20" t="n">
        <v>3.47303</v>
      </c>
    </row>
    <row r="290">
      <c r="A290" s="22" t="n">
        <v>44403</v>
      </c>
      <c r="B290" s="22" t="n">
        <v>44409</v>
      </c>
      <c r="C290">
        <f>TEXT(A290,"yyyy-mm")</f>
        <v/>
      </c>
      <c r="D290" s="20" t="n">
        <v>3.15767</v>
      </c>
      <c r="F290" s="22" t="n">
        <v>44382</v>
      </c>
      <c r="G290" s="22" t="n">
        <v>44388</v>
      </c>
      <c r="H290">
        <f>TEXT(F290,"yyyy-mm")</f>
        <v/>
      </c>
      <c r="I290" s="20" t="n">
        <v>3.63338</v>
      </c>
    </row>
    <row r="291">
      <c r="A291" s="22" t="n">
        <v>44410</v>
      </c>
      <c r="B291" s="22" t="n">
        <v>44416</v>
      </c>
      <c r="C291">
        <f>TEXT(A291,"yyyy-mm")</f>
        <v/>
      </c>
      <c r="D291" s="20" t="n">
        <v>3.16927</v>
      </c>
      <c r="F291" s="22" t="n">
        <v>44389</v>
      </c>
      <c r="G291" s="22" t="n">
        <v>44395</v>
      </c>
      <c r="H291">
        <f>TEXT(F291,"yyyy-mm")</f>
        <v/>
      </c>
      <c r="I291" s="20" t="n">
        <v>3.67824</v>
      </c>
    </row>
    <row r="292">
      <c r="A292" s="22" t="n">
        <v>44417</v>
      </c>
      <c r="B292" s="22" t="n">
        <v>44423</v>
      </c>
      <c r="C292">
        <f>TEXT(A292,"yyyy-mm")</f>
        <v/>
      </c>
      <c r="D292" s="20" t="n">
        <v>3.15472</v>
      </c>
      <c r="F292" s="22" t="n">
        <v>44396</v>
      </c>
      <c r="G292" s="22" t="n">
        <v>44402</v>
      </c>
      <c r="H292">
        <f>TEXT(F292,"yyyy-mm")</f>
        <v/>
      </c>
      <c r="I292" s="20" t="n">
        <v>3.67523</v>
      </c>
    </row>
    <row r="293">
      <c r="A293" s="22" t="n">
        <v>44424</v>
      </c>
      <c r="B293" s="22" t="n">
        <v>44430</v>
      </c>
      <c r="C293">
        <f>TEXT(A293,"yyyy-mm")</f>
        <v/>
      </c>
      <c r="D293" s="20" t="n">
        <v>3.15864</v>
      </c>
      <c r="F293" s="22" t="n">
        <v>44403</v>
      </c>
      <c r="G293" s="22" t="n">
        <v>44409</v>
      </c>
      <c r="H293">
        <f>TEXT(F293,"yyyy-mm")</f>
        <v/>
      </c>
      <c r="I293" s="20" t="n">
        <v>3.65457</v>
      </c>
    </row>
    <row r="294">
      <c r="A294" s="22" t="n">
        <v>44431</v>
      </c>
      <c r="B294" s="22" t="n">
        <v>44437</v>
      </c>
      <c r="C294">
        <f>TEXT(A294,"yyyy-mm")</f>
        <v/>
      </c>
      <c r="D294" s="20" t="n">
        <v>3.16536</v>
      </c>
      <c r="F294" s="22" t="n">
        <v>44410</v>
      </c>
      <c r="G294" s="22" t="n">
        <v>44416</v>
      </c>
      <c r="H294">
        <f>TEXT(F294,"yyyy-mm")</f>
        <v/>
      </c>
      <c r="I294" s="20" t="n">
        <v>3.70431</v>
      </c>
    </row>
    <row r="295">
      <c r="A295" s="22" t="n">
        <v>44438</v>
      </c>
      <c r="B295" s="22" t="n">
        <v>44444</v>
      </c>
      <c r="C295">
        <f>TEXT(A295,"yyyy-mm")</f>
        <v/>
      </c>
      <c r="D295" s="20" t="n">
        <v>3.19023</v>
      </c>
      <c r="F295" s="22" t="n">
        <v>44417</v>
      </c>
      <c r="G295" s="22" t="n">
        <v>44423</v>
      </c>
      <c r="H295">
        <f>TEXT(F295,"yyyy-mm")</f>
        <v/>
      </c>
      <c r="I295" s="20" t="n">
        <v>3.70331</v>
      </c>
    </row>
    <row r="296">
      <c r="A296" s="22" t="n">
        <v>44445</v>
      </c>
      <c r="B296" s="22" t="n">
        <v>44451</v>
      </c>
      <c r="C296">
        <f>TEXT(A296,"yyyy-mm")</f>
        <v/>
      </c>
      <c r="D296" s="20" t="n">
        <v>3.16762</v>
      </c>
      <c r="F296" s="22" t="n">
        <v>44424</v>
      </c>
      <c r="G296" s="22" t="n">
        <v>44430</v>
      </c>
      <c r="H296">
        <f>TEXT(F296,"yyyy-mm")</f>
        <v/>
      </c>
      <c r="I296" s="20" t="n">
        <v>3.77665</v>
      </c>
    </row>
    <row r="297">
      <c r="A297" s="22" t="n">
        <v>44452</v>
      </c>
      <c r="B297" s="22" t="n">
        <v>44458</v>
      </c>
      <c r="C297">
        <f>TEXT(A297,"yyyy-mm")</f>
        <v/>
      </c>
      <c r="D297" s="20" t="n">
        <v>3.15931</v>
      </c>
      <c r="F297" s="22" t="n">
        <v>44431</v>
      </c>
      <c r="G297" s="22" t="n">
        <v>44437</v>
      </c>
      <c r="H297">
        <f>TEXT(F297,"yyyy-mm")</f>
        <v/>
      </c>
      <c r="I297" s="20" t="n">
        <v>3.747</v>
      </c>
    </row>
    <row r="298">
      <c r="A298" s="22" t="n">
        <v>44459</v>
      </c>
      <c r="B298" s="22" t="n">
        <v>44465</v>
      </c>
      <c r="C298">
        <f>TEXT(A298,"yyyy-mm")</f>
        <v/>
      </c>
      <c r="D298" s="20" t="n">
        <v>3.16661</v>
      </c>
      <c r="F298" s="22" t="n">
        <v>44438</v>
      </c>
      <c r="G298" s="22" t="n">
        <v>44444</v>
      </c>
      <c r="H298">
        <f>TEXT(F298,"yyyy-mm")</f>
        <v/>
      </c>
      <c r="I298" s="20" t="n">
        <v>3.74968</v>
      </c>
    </row>
    <row r="299">
      <c r="A299" s="22" t="n">
        <v>44466</v>
      </c>
      <c r="B299" s="22" t="n">
        <v>44472</v>
      </c>
      <c r="C299">
        <f>TEXT(A299,"yyyy-mm")</f>
        <v/>
      </c>
      <c r="D299" s="20" t="n">
        <v>3.34055</v>
      </c>
      <c r="F299" s="22" t="n">
        <v>44445</v>
      </c>
      <c r="G299" s="22" t="n">
        <v>44451</v>
      </c>
      <c r="H299">
        <f>TEXT(F299,"yyyy-mm")</f>
        <v/>
      </c>
      <c r="I299" s="20" t="n">
        <v>3.77345</v>
      </c>
    </row>
    <row r="300">
      <c r="A300" s="22" t="n">
        <v>44473</v>
      </c>
      <c r="B300" s="22" t="n">
        <v>44479</v>
      </c>
      <c r="C300">
        <f>TEXT(A300,"yyyy-mm")</f>
        <v/>
      </c>
      <c r="D300" s="20" t="n">
        <v>3.4408</v>
      </c>
      <c r="F300" s="22" t="n">
        <v>44452</v>
      </c>
      <c r="G300" s="22" t="n">
        <v>44458</v>
      </c>
      <c r="H300">
        <f>TEXT(F300,"yyyy-mm")</f>
        <v/>
      </c>
      <c r="I300" s="20" t="n">
        <v>3.77767</v>
      </c>
    </row>
    <row r="301">
      <c r="A301" s="22" t="n">
        <v>44480</v>
      </c>
      <c r="B301" s="22" t="n">
        <v>44486</v>
      </c>
      <c r="C301">
        <f>TEXT(A301,"yyyy-mm")</f>
        <v/>
      </c>
      <c r="D301" s="20" t="n">
        <v>3.42177</v>
      </c>
      <c r="F301" s="22" t="n">
        <v>44459</v>
      </c>
      <c r="G301" s="22" t="n">
        <v>44465</v>
      </c>
      <c r="H301">
        <f>TEXT(F301,"yyyy-mm")</f>
        <v/>
      </c>
      <c r="I301" s="20" t="n">
        <v>3.74475</v>
      </c>
    </row>
    <row r="302">
      <c r="A302" s="22" t="n">
        <v>44487</v>
      </c>
      <c r="B302" s="22" t="n">
        <v>44493</v>
      </c>
      <c r="C302">
        <f>TEXT(A302,"yyyy-mm")</f>
        <v/>
      </c>
      <c r="D302" s="20" t="n">
        <v>3.43032</v>
      </c>
      <c r="F302" s="22" t="n">
        <v>44466</v>
      </c>
      <c r="G302" s="22" t="n">
        <v>44472</v>
      </c>
      <c r="H302">
        <f>TEXT(F302,"yyyy-mm")</f>
        <v/>
      </c>
      <c r="I302" s="20" t="n">
        <v>3.73261</v>
      </c>
    </row>
    <row r="303">
      <c r="A303" s="22" t="n">
        <v>44494</v>
      </c>
      <c r="B303" s="22" t="n">
        <v>44500</v>
      </c>
      <c r="C303">
        <f>TEXT(A303,"yyyy-mm")</f>
        <v/>
      </c>
      <c r="D303" s="20" t="n">
        <v>3.65735</v>
      </c>
      <c r="F303" s="22" t="n">
        <v>44473</v>
      </c>
      <c r="G303" s="22" t="n">
        <v>44479</v>
      </c>
      <c r="H303">
        <f>TEXT(F303,"yyyy-mm")</f>
        <v/>
      </c>
      <c r="I303" s="20" t="n">
        <v>3.76502</v>
      </c>
    </row>
    <row r="304">
      <c r="A304" s="22" t="n">
        <v>44501</v>
      </c>
      <c r="B304" s="22" t="n">
        <v>44507</v>
      </c>
      <c r="C304">
        <f>TEXT(A304,"yyyy-mm")</f>
        <v/>
      </c>
      <c r="D304" s="20" t="n">
        <v>3.72646</v>
      </c>
      <c r="F304" s="22" t="n">
        <v>44480</v>
      </c>
      <c r="G304" s="22" t="n">
        <v>44486</v>
      </c>
      <c r="H304">
        <f>TEXT(F304,"yyyy-mm")</f>
        <v/>
      </c>
      <c r="I304" s="20" t="n">
        <v>3.96076</v>
      </c>
    </row>
    <row r="305">
      <c r="A305" s="22" t="n">
        <v>44508</v>
      </c>
      <c r="B305" s="22" t="n">
        <v>44514</v>
      </c>
      <c r="C305">
        <f>TEXT(A305,"yyyy-mm")</f>
        <v/>
      </c>
      <c r="D305" s="20" t="n">
        <v>3.70008</v>
      </c>
      <c r="F305" s="22" t="n">
        <v>44487</v>
      </c>
      <c r="G305" s="22" t="n">
        <v>44493</v>
      </c>
      <c r="H305">
        <f>TEXT(F305,"yyyy-mm")</f>
        <v/>
      </c>
      <c r="I305" s="20" t="n">
        <v>3.94381</v>
      </c>
    </row>
    <row r="306">
      <c r="A306" s="22" t="n">
        <v>44515</v>
      </c>
      <c r="B306" s="22" t="n">
        <v>44521</v>
      </c>
      <c r="C306">
        <f>TEXT(A306,"yyyy-mm")</f>
        <v/>
      </c>
      <c r="D306" s="20" t="n">
        <v>3.68801</v>
      </c>
      <c r="F306" s="22" t="n">
        <v>44494</v>
      </c>
      <c r="G306" s="22" t="n">
        <v>44500</v>
      </c>
      <c r="H306">
        <f>TEXT(F306,"yyyy-mm")</f>
        <v/>
      </c>
      <c r="I306" s="20" t="n">
        <v>4.10779</v>
      </c>
    </row>
    <row r="307">
      <c r="A307" s="22" t="n">
        <v>44522</v>
      </c>
      <c r="B307" s="22" t="n">
        <v>44528</v>
      </c>
      <c r="C307">
        <f>TEXT(A307,"yyyy-mm")</f>
        <v/>
      </c>
      <c r="D307" s="20" t="n">
        <v>3.70263</v>
      </c>
      <c r="F307" s="22" t="n">
        <v>44501</v>
      </c>
      <c r="G307" s="22" t="n">
        <v>44507</v>
      </c>
      <c r="H307">
        <f>TEXT(F307,"yyyy-mm")</f>
        <v/>
      </c>
      <c r="I307" s="20" t="n">
        <v>4.14582</v>
      </c>
    </row>
    <row r="308">
      <c r="A308" s="22" t="n">
        <v>44529</v>
      </c>
      <c r="B308" s="22" t="n">
        <v>44535</v>
      </c>
      <c r="C308">
        <f>TEXT(A308,"yyyy-mm")</f>
        <v/>
      </c>
      <c r="D308" s="20" t="n">
        <v>3.70956</v>
      </c>
      <c r="F308" s="22" t="n">
        <v>44508</v>
      </c>
      <c r="G308" s="22" t="n">
        <v>44514</v>
      </c>
      <c r="H308">
        <f>TEXT(F308,"yyyy-mm")</f>
        <v/>
      </c>
      <c r="I308" s="20" t="n">
        <v>4.12088</v>
      </c>
    </row>
    <row r="309">
      <c r="A309" s="22" t="n">
        <v>44536</v>
      </c>
      <c r="B309" s="22" t="n">
        <v>44542</v>
      </c>
      <c r="C309">
        <f>TEXT(A309,"yyyy-mm")</f>
        <v/>
      </c>
      <c r="D309" s="20" t="n">
        <v>3.71745</v>
      </c>
      <c r="F309" s="22" t="n">
        <v>44515</v>
      </c>
      <c r="G309" s="22" t="n">
        <v>44521</v>
      </c>
      <c r="H309">
        <f>TEXT(F309,"yyyy-mm")</f>
        <v/>
      </c>
      <c r="I309" s="20" t="n">
        <v>4.10829</v>
      </c>
    </row>
    <row r="310">
      <c r="A310" s="22" t="n">
        <v>44543</v>
      </c>
      <c r="B310" s="22" t="n">
        <v>44549</v>
      </c>
      <c r="C310">
        <f>TEXT(A310,"yyyy-mm")</f>
        <v/>
      </c>
      <c r="D310" s="20" t="n">
        <v>3.70124</v>
      </c>
      <c r="F310" s="22" t="n">
        <v>44522</v>
      </c>
      <c r="G310" s="22" t="n">
        <v>44528</v>
      </c>
      <c r="H310">
        <f>TEXT(F310,"yyyy-mm")</f>
        <v/>
      </c>
      <c r="I310" s="20" t="n">
        <v>4.13016</v>
      </c>
    </row>
    <row r="311">
      <c r="A311" s="22" t="n">
        <v>44550</v>
      </c>
      <c r="B311" s="22" t="n">
        <v>44556</v>
      </c>
      <c r="C311">
        <f>TEXT(A311,"yyyy-mm")</f>
        <v/>
      </c>
      <c r="D311" s="20" t="n">
        <v>3.70588</v>
      </c>
      <c r="F311" s="22" t="n">
        <v>44529</v>
      </c>
      <c r="G311" s="22" t="n">
        <v>44535</v>
      </c>
      <c r="H311">
        <f>TEXT(F311,"yyyy-mm")</f>
        <v/>
      </c>
      <c r="I311" s="20" t="n">
        <v>4.14711</v>
      </c>
    </row>
    <row r="312">
      <c r="A312" s="22" t="n">
        <v>44557</v>
      </c>
      <c r="B312" s="22" t="n">
        <v>44563</v>
      </c>
      <c r="C312">
        <f>TEXT(A312,"yyyy-mm")</f>
        <v/>
      </c>
      <c r="D312" s="20" t="n">
        <v>3.70002</v>
      </c>
      <c r="F312" s="22" t="n">
        <v>44536</v>
      </c>
      <c r="G312" s="22" t="n">
        <v>44542</v>
      </c>
      <c r="H312">
        <f>TEXT(F312,"yyyy-mm")</f>
        <v/>
      </c>
      <c r="I312" s="20" t="n">
        <v>4.172</v>
      </c>
    </row>
    <row r="313">
      <c r="A313" s="22" t="n">
        <v>44564</v>
      </c>
      <c r="B313" s="22" t="n">
        <v>44570</v>
      </c>
      <c r="C313">
        <f>TEXT(A313,"yyyy-mm")</f>
        <v/>
      </c>
      <c r="D313" s="20" t="n">
        <v>3.70913</v>
      </c>
      <c r="F313" s="22" t="n">
        <v>44543</v>
      </c>
      <c r="G313" s="22" t="n">
        <v>44549</v>
      </c>
      <c r="H313">
        <f>TEXT(F313,"yyyy-mm")</f>
        <v/>
      </c>
      <c r="I313" s="20" t="n">
        <v>4.0782</v>
      </c>
    </row>
    <row r="314">
      <c r="A314" s="22" t="n">
        <v>44571</v>
      </c>
      <c r="B314" s="22" t="n">
        <v>44577</v>
      </c>
      <c r="C314">
        <f>TEXT(A314,"yyyy-mm")</f>
        <v/>
      </c>
      <c r="D314" s="20" t="n">
        <v>3.86021</v>
      </c>
      <c r="F314" s="22" t="n">
        <v>44550</v>
      </c>
      <c r="G314" s="22" t="n">
        <v>44556</v>
      </c>
      <c r="H314">
        <f>TEXT(F314,"yyyy-mm")</f>
        <v/>
      </c>
      <c r="I314" s="20" t="n">
        <v>4.06167</v>
      </c>
    </row>
    <row r="315">
      <c r="A315" s="22" t="n">
        <v>44578</v>
      </c>
      <c r="B315" s="22" t="n">
        <v>44584</v>
      </c>
      <c r="C315">
        <f>TEXT(A315,"yyyy-mm")</f>
        <v/>
      </c>
      <c r="D315" s="20" t="n">
        <v>3.97131</v>
      </c>
      <c r="F315" s="22" t="n">
        <v>44557</v>
      </c>
      <c r="G315" s="22" t="n">
        <v>44563</v>
      </c>
      <c r="H315">
        <f>TEXT(F315,"yyyy-mm")</f>
        <v/>
      </c>
      <c r="I315" s="20" t="n">
        <v>4.04762</v>
      </c>
    </row>
    <row r="316">
      <c r="A316" s="22" t="n">
        <v>44585</v>
      </c>
      <c r="B316" s="22" t="n">
        <v>44591</v>
      </c>
      <c r="C316">
        <f>TEXT(A316,"yyyy-mm")</f>
        <v/>
      </c>
      <c r="D316" s="20" t="n">
        <v>3.97389</v>
      </c>
      <c r="F316" s="22" t="n">
        <v>44564</v>
      </c>
      <c r="G316" s="22" t="n">
        <v>44570</v>
      </c>
      <c r="H316">
        <f>TEXT(F316,"yyyy-mm")</f>
        <v/>
      </c>
      <c r="I316" s="20" t="n">
        <v>4.10261</v>
      </c>
    </row>
    <row r="317">
      <c r="A317" s="22" t="n">
        <v>44592</v>
      </c>
      <c r="B317" s="22" t="n">
        <v>44598</v>
      </c>
      <c r="C317">
        <f>TEXT(A317,"yyyy-mm")</f>
        <v/>
      </c>
      <c r="D317" s="20" t="n">
        <v>3.9821</v>
      </c>
      <c r="F317" s="22" t="n">
        <v>44571</v>
      </c>
      <c r="G317" s="22" t="n">
        <v>44577</v>
      </c>
      <c r="H317">
        <f>TEXT(F317,"yyyy-mm")</f>
        <v/>
      </c>
      <c r="I317" s="20" t="n">
        <v>4.17026</v>
      </c>
    </row>
    <row r="318">
      <c r="A318" s="22" t="n">
        <v>44599</v>
      </c>
      <c r="B318" s="22" t="n">
        <v>44605</v>
      </c>
      <c r="C318">
        <f>TEXT(A318,"yyyy-mm")</f>
        <v/>
      </c>
      <c r="D318" s="20" t="n">
        <v>3.98111</v>
      </c>
      <c r="F318" s="22" t="n">
        <v>44578</v>
      </c>
      <c r="G318" s="22" t="n">
        <v>44584</v>
      </c>
      <c r="H318">
        <f>TEXT(F318,"yyyy-mm")</f>
        <v/>
      </c>
      <c r="I318" s="20" t="n">
        <v>4.19075</v>
      </c>
    </row>
    <row r="319">
      <c r="A319" s="22" t="n">
        <v>44606</v>
      </c>
      <c r="B319" s="22" t="n">
        <v>44612</v>
      </c>
      <c r="C319">
        <f>TEXT(A319,"yyyy-mm")</f>
        <v/>
      </c>
      <c r="D319" s="20" t="n">
        <v>3.97766</v>
      </c>
      <c r="F319" s="22" t="n">
        <v>44585</v>
      </c>
      <c r="G319" s="22" t="n">
        <v>44591</v>
      </c>
      <c r="H319">
        <f>TEXT(F319,"yyyy-mm")</f>
        <v/>
      </c>
      <c r="I319" s="20" t="n">
        <v>4.21726</v>
      </c>
    </row>
    <row r="320">
      <c r="A320" s="22" t="n">
        <v>44613</v>
      </c>
      <c r="B320" s="22" t="n">
        <v>44619</v>
      </c>
      <c r="C320">
        <f>TEXT(A320,"yyyy-mm")</f>
        <v/>
      </c>
      <c r="D320" s="20" t="n">
        <v>4.00069</v>
      </c>
      <c r="F320" s="22" t="n">
        <v>44592</v>
      </c>
      <c r="G320" s="22" t="n">
        <v>44598</v>
      </c>
      <c r="H320">
        <f>TEXT(F320,"yyyy-mm")</f>
        <v/>
      </c>
      <c r="I320" s="20" t="n">
        <v>4.23894</v>
      </c>
    </row>
    <row r="321">
      <c r="A321" s="22" t="n">
        <v>44620</v>
      </c>
      <c r="B321" s="22" t="n">
        <v>44626</v>
      </c>
      <c r="C321">
        <f>TEXT(A321,"yyyy-mm")</f>
        <v/>
      </c>
      <c r="D321" s="20" t="n">
        <v>3.99803</v>
      </c>
      <c r="F321" s="22" t="n">
        <v>44599</v>
      </c>
      <c r="G321" s="22" t="n">
        <v>44605</v>
      </c>
      <c r="H321">
        <f>TEXT(F321,"yyyy-mm")</f>
        <v/>
      </c>
      <c r="I321" s="20" t="n">
        <v>4.23042</v>
      </c>
    </row>
    <row r="322">
      <c r="A322" s="22" t="n">
        <v>44627</v>
      </c>
      <c r="B322" s="22" t="n">
        <v>44633</v>
      </c>
      <c r="C322">
        <f>TEXT(A322,"yyyy-mm")</f>
        <v/>
      </c>
      <c r="D322" s="20" t="n">
        <v>4.22331</v>
      </c>
      <c r="F322" s="22" t="n">
        <v>44606</v>
      </c>
      <c r="G322" s="22" t="n">
        <v>44612</v>
      </c>
      <c r="H322">
        <f>TEXT(F322,"yyyy-mm")</f>
        <v/>
      </c>
      <c r="I322" s="20" t="n">
        <v>4.22172</v>
      </c>
    </row>
    <row r="323">
      <c r="A323" s="22" t="n">
        <v>44634</v>
      </c>
      <c r="B323" s="22" t="n">
        <v>44640</v>
      </c>
      <c r="C323">
        <f>TEXT(A323,"yyyy-mm")</f>
        <v/>
      </c>
      <c r="D323" s="20" t="n">
        <v>4.51996</v>
      </c>
      <c r="F323" s="22" t="n">
        <v>44613</v>
      </c>
      <c r="G323" s="22" t="n">
        <v>44619</v>
      </c>
      <c r="H323">
        <f>TEXT(F323,"yyyy-mm")</f>
        <v/>
      </c>
      <c r="I323" s="20" t="n">
        <v>4.21335</v>
      </c>
    </row>
    <row r="324">
      <c r="A324" s="22" t="n">
        <v>44641</v>
      </c>
      <c r="B324" s="22" t="n">
        <v>44647</v>
      </c>
      <c r="C324">
        <f>TEXT(A324,"yyyy-mm")</f>
        <v/>
      </c>
      <c r="D324" s="20" t="n">
        <v>4.51513</v>
      </c>
      <c r="F324" s="22" t="n">
        <v>44620</v>
      </c>
      <c r="G324" s="22" t="n">
        <v>44626</v>
      </c>
      <c r="H324">
        <f>TEXT(F324,"yyyy-mm")</f>
        <v/>
      </c>
      <c r="I324" s="20" t="n">
        <v>4.25105</v>
      </c>
    </row>
    <row r="325">
      <c r="A325" s="22" t="n">
        <v>44648</v>
      </c>
      <c r="B325" s="22" t="n">
        <v>44654</v>
      </c>
      <c r="C325">
        <f>TEXT(A325,"yyyy-mm")</f>
        <v/>
      </c>
      <c r="D325" s="20" t="n">
        <v>4.54557</v>
      </c>
      <c r="F325" s="22" t="n">
        <v>44627</v>
      </c>
      <c r="G325" s="22" t="n">
        <v>44633</v>
      </c>
      <c r="H325">
        <f>TEXT(F325,"yyyy-mm")</f>
        <v/>
      </c>
      <c r="I325" s="20" t="n">
        <v>4.39346</v>
      </c>
    </row>
    <row r="326">
      <c r="A326" s="22" t="n">
        <v>44655</v>
      </c>
      <c r="B326" s="22" t="n">
        <v>44661</v>
      </c>
      <c r="C326">
        <f>TEXT(A326,"yyyy-mm")</f>
        <v/>
      </c>
      <c r="D326" s="20" t="n">
        <v>4.52775</v>
      </c>
      <c r="F326" s="22" t="n">
        <v>44634</v>
      </c>
      <c r="G326" s="22" t="n">
        <v>44640</v>
      </c>
      <c r="H326">
        <f>TEXT(F326,"yyyy-mm")</f>
        <v/>
      </c>
      <c r="I326" s="20" t="n">
        <v>4.80809</v>
      </c>
    </row>
    <row r="327">
      <c r="A327" s="22" t="n">
        <v>44662</v>
      </c>
      <c r="B327" s="22" t="n">
        <v>44668</v>
      </c>
      <c r="C327">
        <f>TEXT(A327,"yyyy-mm")</f>
        <v/>
      </c>
      <c r="D327" s="20" t="n">
        <v>4.53027</v>
      </c>
      <c r="F327" s="22" t="n">
        <v>44641</v>
      </c>
      <c r="G327" s="22" t="n">
        <v>44647</v>
      </c>
      <c r="H327">
        <f>TEXT(F327,"yyyy-mm")</f>
        <v/>
      </c>
      <c r="I327" s="20" t="n">
        <v>4.80275</v>
      </c>
    </row>
    <row r="328">
      <c r="A328" s="22" t="n">
        <v>44669</v>
      </c>
      <c r="B328" s="22" t="n">
        <v>44675</v>
      </c>
      <c r="C328">
        <f>TEXT(A328,"yyyy-mm")</f>
        <v/>
      </c>
      <c r="D328" s="20" t="n">
        <v>4.54908</v>
      </c>
      <c r="F328" s="22" t="n">
        <v>44648</v>
      </c>
      <c r="G328" s="22" t="n">
        <v>44654</v>
      </c>
      <c r="H328">
        <f>TEXT(F328,"yyyy-mm")</f>
        <v/>
      </c>
      <c r="I328" s="20" t="n">
        <v>4.79926</v>
      </c>
    </row>
    <row r="329">
      <c r="A329" s="22" t="n">
        <v>44676</v>
      </c>
      <c r="B329" s="22" t="n">
        <v>44682</v>
      </c>
      <c r="C329">
        <f>TEXT(A329,"yyyy-mm")</f>
        <v/>
      </c>
      <c r="D329" s="20" t="n">
        <v>4.61104</v>
      </c>
      <c r="F329" s="22" t="n">
        <v>44655</v>
      </c>
      <c r="G329" s="22" t="n">
        <v>44661</v>
      </c>
      <c r="H329">
        <f>TEXT(F329,"yyyy-mm")</f>
        <v/>
      </c>
      <c r="I329" s="20" t="n">
        <v>4.80484</v>
      </c>
    </row>
    <row r="330">
      <c r="A330" s="22" t="n">
        <v>44683</v>
      </c>
      <c r="B330" s="22" t="n">
        <v>44689</v>
      </c>
      <c r="C330">
        <f>TEXT(A330,"yyyy-mm")</f>
        <v/>
      </c>
      <c r="D330" s="20" t="n">
        <v>4.58979</v>
      </c>
      <c r="F330" s="22" t="n">
        <v>44662</v>
      </c>
      <c r="G330" s="22" t="n">
        <v>44668</v>
      </c>
      <c r="H330">
        <f>TEXT(F330,"yyyy-mm")</f>
        <v/>
      </c>
      <c r="I330" s="20" t="n">
        <v>4.78911</v>
      </c>
    </row>
    <row r="331">
      <c r="A331" s="22" t="n">
        <v>44690</v>
      </c>
      <c r="B331" s="22" t="n">
        <v>44696</v>
      </c>
      <c r="C331">
        <f>TEXT(A331,"yyyy-mm")</f>
        <v/>
      </c>
      <c r="D331" s="20" t="n">
        <v>4.835</v>
      </c>
      <c r="F331" s="22" t="n">
        <v>44669</v>
      </c>
      <c r="G331" s="22" t="n">
        <v>44675</v>
      </c>
      <c r="H331">
        <f>TEXT(F331,"yyyy-mm")</f>
        <v/>
      </c>
      <c r="I331" s="20" t="n">
        <v>4.76532</v>
      </c>
    </row>
    <row r="332">
      <c r="A332" s="22" t="n">
        <v>44697</v>
      </c>
      <c r="B332" s="22" t="n">
        <v>44703</v>
      </c>
      <c r="C332">
        <f>TEXT(A332,"yyyy-mm")</f>
        <v/>
      </c>
      <c r="D332" s="20" t="n">
        <v>4.93091</v>
      </c>
      <c r="F332" s="22" t="n">
        <v>44676</v>
      </c>
      <c r="G332" s="22" t="n">
        <v>44682</v>
      </c>
      <c r="H332">
        <f>TEXT(F332,"yyyy-mm")</f>
        <v/>
      </c>
      <c r="I332" s="20" t="n">
        <v>4.76229</v>
      </c>
    </row>
    <row r="333">
      <c r="A333" s="22" t="n">
        <v>44704</v>
      </c>
      <c r="B333" s="22" t="n">
        <v>44710</v>
      </c>
      <c r="C333">
        <f>TEXT(A333,"yyyy-mm")</f>
        <v/>
      </c>
      <c r="D333" s="20" t="n">
        <v>4.90402</v>
      </c>
      <c r="F333" s="22" t="n">
        <v>44683</v>
      </c>
      <c r="G333" s="22" t="n">
        <v>44689</v>
      </c>
      <c r="H333">
        <f>TEXT(F333,"yyyy-mm")</f>
        <v/>
      </c>
      <c r="I333" s="20" t="n">
        <v>4.81768</v>
      </c>
    </row>
    <row r="334">
      <c r="A334" s="22" t="n">
        <v>44711</v>
      </c>
      <c r="B334" s="22" t="n">
        <v>44717</v>
      </c>
      <c r="C334">
        <f>TEXT(A334,"yyyy-mm")</f>
        <v/>
      </c>
      <c r="D334" s="20" t="n">
        <v>4.92027</v>
      </c>
      <c r="F334" s="22" t="n">
        <v>44690</v>
      </c>
      <c r="G334" s="22" t="n">
        <v>44696</v>
      </c>
      <c r="H334">
        <f>TEXT(F334,"yyyy-mm")</f>
        <v/>
      </c>
      <c r="I334" s="20" t="n">
        <v>4.83289</v>
      </c>
    </row>
    <row r="335">
      <c r="A335" s="22" t="n">
        <v>44718</v>
      </c>
      <c r="B335" s="22" t="n">
        <v>44724</v>
      </c>
      <c r="C335">
        <f>TEXT(A335,"yyyy-mm")</f>
        <v/>
      </c>
      <c r="D335" s="20" t="n">
        <v>4.9553</v>
      </c>
      <c r="F335" s="22" t="n">
        <v>44697</v>
      </c>
      <c r="G335" s="22" t="n">
        <v>44703</v>
      </c>
      <c r="H335">
        <f>TEXT(F335,"yyyy-mm")</f>
        <v/>
      </c>
      <c r="I335" s="20" t="n">
        <v>4.82211</v>
      </c>
    </row>
    <row r="336">
      <c r="A336" s="22" t="n">
        <v>44725</v>
      </c>
      <c r="B336" s="22" t="n">
        <v>44731</v>
      </c>
      <c r="C336">
        <f>TEXT(A336,"yyyy-mm")</f>
        <v/>
      </c>
      <c r="D336" s="20" t="n">
        <v>5.11552</v>
      </c>
      <c r="F336" s="22" t="n">
        <v>44704</v>
      </c>
      <c r="G336" s="22" t="n">
        <v>44710</v>
      </c>
      <c r="H336">
        <f>TEXT(F336,"yyyy-mm")</f>
        <v/>
      </c>
      <c r="I336" s="20" t="n">
        <v>4.87665</v>
      </c>
    </row>
    <row r="337">
      <c r="A337" s="22" t="n">
        <v>44732</v>
      </c>
      <c r="B337" s="22" t="n">
        <v>44738</v>
      </c>
      <c r="C337">
        <f>TEXT(A337,"yyyy-mm")</f>
        <v/>
      </c>
      <c r="D337" s="20" t="n">
        <v>5.61875</v>
      </c>
      <c r="F337" s="22" t="n">
        <v>44711</v>
      </c>
      <c r="G337" s="22" t="n">
        <v>44717</v>
      </c>
      <c r="H337">
        <f>TEXT(F337,"yyyy-mm")</f>
        <v/>
      </c>
      <c r="I337" s="20" t="n">
        <v>4.84143</v>
      </c>
    </row>
    <row r="338">
      <c r="A338" s="22" t="n">
        <v>44739</v>
      </c>
      <c r="B338" s="22" t="n">
        <v>44745</v>
      </c>
      <c r="C338">
        <f>TEXT(A338,"yyyy-mm")</f>
        <v/>
      </c>
      <c r="D338" s="20" t="n">
        <v>5.64467</v>
      </c>
      <c r="F338" s="22" t="n">
        <v>44718</v>
      </c>
      <c r="G338" s="22" t="n">
        <v>44724</v>
      </c>
      <c r="H338">
        <f>TEXT(F338,"yyyy-mm")</f>
        <v/>
      </c>
      <c r="I338" s="20" t="n">
        <v>4.84748</v>
      </c>
    </row>
    <row r="339">
      <c r="A339" s="22" t="n">
        <v>44746</v>
      </c>
      <c r="B339" s="22" t="n">
        <v>44752</v>
      </c>
      <c r="C339">
        <f>TEXT(A339,"yyyy-mm")</f>
        <v/>
      </c>
      <c r="D339" s="20" t="n">
        <v>5.61972</v>
      </c>
      <c r="F339" s="22" t="n">
        <v>44725</v>
      </c>
      <c r="G339" s="22" t="n">
        <v>44731</v>
      </c>
      <c r="H339">
        <f>TEXT(F339,"yyyy-mm")</f>
        <v/>
      </c>
      <c r="I339" s="20" t="n">
        <v>4.94266</v>
      </c>
    </row>
    <row r="340">
      <c r="A340" s="22" t="n">
        <v>44753</v>
      </c>
      <c r="B340" s="22" t="n">
        <v>44759</v>
      </c>
      <c r="C340">
        <f>TEXT(A340,"yyyy-mm")</f>
        <v/>
      </c>
      <c r="D340" s="20" t="n">
        <v>5.60465</v>
      </c>
      <c r="F340" s="22" t="n">
        <v>44732</v>
      </c>
      <c r="G340" s="22" t="n">
        <v>44738</v>
      </c>
      <c r="H340">
        <f>TEXT(F340,"yyyy-mm")</f>
        <v/>
      </c>
      <c r="I340" s="20" t="n">
        <v>4.66241</v>
      </c>
    </row>
    <row r="341">
      <c r="A341" s="22" t="n">
        <v>44760</v>
      </c>
      <c r="B341" s="22" t="n">
        <v>44766</v>
      </c>
      <c r="C341">
        <f>TEXT(A341,"yyyy-mm")</f>
        <v/>
      </c>
      <c r="D341" s="20" t="n">
        <v>5.61197</v>
      </c>
      <c r="F341" s="22" t="n">
        <v>44739</v>
      </c>
      <c r="G341" s="22" t="n">
        <v>44745</v>
      </c>
      <c r="H341">
        <f>TEXT(F341,"yyyy-mm")</f>
        <v/>
      </c>
      <c r="I341" s="20" t="n">
        <v>4.21087</v>
      </c>
    </row>
    <row r="342">
      <c r="A342" s="22" t="n">
        <v>44767</v>
      </c>
      <c r="B342" s="22" t="n">
        <v>44773</v>
      </c>
      <c r="C342">
        <f>TEXT(A342,"yyyy-mm")</f>
        <v/>
      </c>
      <c r="D342" s="20" t="n">
        <v>5.58696</v>
      </c>
      <c r="F342" s="22" t="n">
        <v>44746</v>
      </c>
      <c r="G342" s="22" t="n">
        <v>44752</v>
      </c>
      <c r="H342">
        <f>TEXT(F342,"yyyy-mm")</f>
        <v/>
      </c>
      <c r="I342" s="20" t="n">
        <v>4.21055</v>
      </c>
    </row>
    <row r="343">
      <c r="A343" s="22" t="n">
        <v>44774</v>
      </c>
      <c r="B343" s="22" t="n">
        <v>44780</v>
      </c>
      <c r="C343">
        <f>TEXT(A343,"yyyy-mm")</f>
        <v/>
      </c>
      <c r="D343" s="20" t="n">
        <v>5.51023</v>
      </c>
      <c r="F343" s="22" t="n">
        <v>44753</v>
      </c>
      <c r="G343" s="22" t="n">
        <v>44759</v>
      </c>
      <c r="H343">
        <f>TEXT(F343,"yyyy-mm")</f>
        <v/>
      </c>
      <c r="I343" s="20" t="n">
        <v>4.18813</v>
      </c>
    </row>
    <row r="344">
      <c r="A344" s="22" t="n">
        <v>44781</v>
      </c>
      <c r="B344" s="22" t="n">
        <v>44787</v>
      </c>
      <c r="C344">
        <f>TEXT(A344,"yyyy-mm")</f>
        <v/>
      </c>
      <c r="D344" s="20" t="n">
        <v>5.28053</v>
      </c>
      <c r="F344" s="22" t="n">
        <v>44760</v>
      </c>
      <c r="G344" s="22" t="n">
        <v>44766</v>
      </c>
      <c r="H344">
        <f>TEXT(F344,"yyyy-mm")</f>
        <v/>
      </c>
      <c r="I344" s="20" t="n">
        <v>4.03776</v>
      </c>
    </row>
    <row r="345">
      <c r="A345" s="22" t="n">
        <v>44788</v>
      </c>
      <c r="B345" s="22" t="n">
        <v>44794</v>
      </c>
      <c r="C345">
        <f>TEXT(A345,"yyyy-mm")</f>
        <v/>
      </c>
      <c r="D345" s="20" t="n">
        <v>5.15044</v>
      </c>
      <c r="F345" s="22" t="n">
        <v>44767</v>
      </c>
      <c r="G345" s="22" t="n">
        <v>44773</v>
      </c>
      <c r="H345">
        <f>TEXT(F345,"yyyy-mm")</f>
        <v/>
      </c>
      <c r="I345" s="20" t="n">
        <v>3.87453</v>
      </c>
    </row>
    <row r="346">
      <c r="A346" s="22" t="n">
        <v>44795</v>
      </c>
      <c r="B346" s="22" t="n">
        <v>44801</v>
      </c>
      <c r="C346">
        <f>TEXT(A346,"yyyy-mm")</f>
        <v/>
      </c>
      <c r="D346" s="20" t="n">
        <v>5.17851</v>
      </c>
      <c r="F346" s="22" t="n">
        <v>44774</v>
      </c>
      <c r="G346" s="22" t="n">
        <v>44780</v>
      </c>
      <c r="H346">
        <f>TEXT(F346,"yyyy-mm")</f>
        <v/>
      </c>
      <c r="I346" s="20" t="n">
        <v>3.75903</v>
      </c>
    </row>
    <row r="347">
      <c r="A347" s="22" t="n">
        <v>44802</v>
      </c>
      <c r="B347" s="22" t="n">
        <v>44808</v>
      </c>
      <c r="C347">
        <f>TEXT(A347,"yyyy-mm")</f>
        <v/>
      </c>
      <c r="D347" s="20" t="n">
        <v>5.19985</v>
      </c>
      <c r="F347" s="22" t="n">
        <v>44781</v>
      </c>
      <c r="G347" s="22" t="n">
        <v>44787</v>
      </c>
      <c r="H347">
        <f>TEXT(F347,"yyyy-mm")</f>
        <v/>
      </c>
      <c r="I347" s="20" t="n">
        <v>3.77286</v>
      </c>
    </row>
    <row r="348">
      <c r="A348" s="22" t="n">
        <v>44809</v>
      </c>
      <c r="B348" s="22" t="n">
        <v>44815</v>
      </c>
      <c r="C348">
        <f>TEXT(A348,"yyyy-mm")</f>
        <v/>
      </c>
      <c r="D348" s="20" t="n">
        <v>5.18012</v>
      </c>
      <c r="F348" s="22" t="n">
        <v>44788</v>
      </c>
      <c r="G348" s="22" t="n">
        <v>44794</v>
      </c>
      <c r="H348">
        <f>TEXT(F348,"yyyy-mm")</f>
        <v/>
      </c>
      <c r="I348" s="20" t="n">
        <v>3.60844</v>
      </c>
    </row>
    <row r="349">
      <c r="A349" s="22" t="n">
        <v>44816</v>
      </c>
      <c r="B349" s="22" t="n">
        <v>44822</v>
      </c>
      <c r="C349">
        <f>TEXT(A349,"yyyy-mm")</f>
        <v/>
      </c>
      <c r="D349" s="20" t="n">
        <v>5.17462</v>
      </c>
      <c r="F349" s="22" t="n">
        <v>44795</v>
      </c>
      <c r="G349" s="22" t="n">
        <v>44801</v>
      </c>
      <c r="H349">
        <f>TEXT(F349,"yyyy-mm")</f>
        <v/>
      </c>
      <c r="I349" s="20" t="n">
        <v>3.56118</v>
      </c>
    </row>
    <row r="350">
      <c r="A350" s="22" t="n">
        <v>44823</v>
      </c>
      <c r="B350" s="22" t="n">
        <v>44829</v>
      </c>
      <c r="C350">
        <f>TEXT(A350,"yyyy-mm")</f>
        <v/>
      </c>
      <c r="D350" s="20" t="n">
        <v>4.92257</v>
      </c>
      <c r="F350" s="22" t="n">
        <v>44802</v>
      </c>
      <c r="G350" s="22" t="n">
        <v>44808</v>
      </c>
      <c r="H350">
        <f>TEXT(F350,"yyyy-mm")</f>
        <v/>
      </c>
      <c r="I350" s="20" t="n">
        <v>3.48834</v>
      </c>
    </row>
    <row r="351">
      <c r="A351" s="22" t="n">
        <v>44830</v>
      </c>
      <c r="B351" s="22" t="n">
        <v>44836</v>
      </c>
      <c r="C351">
        <f>TEXT(A351,"yyyy-mm")</f>
        <v/>
      </c>
      <c r="D351" s="20" t="n">
        <v>4.88026</v>
      </c>
      <c r="F351" s="22" t="n">
        <v>44809</v>
      </c>
      <c r="G351" s="22" t="n">
        <v>44815</v>
      </c>
      <c r="H351">
        <f>TEXT(F351,"yyyy-mm")</f>
        <v/>
      </c>
      <c r="I351" s="20" t="n">
        <v>3.3529</v>
      </c>
    </row>
    <row r="352">
      <c r="A352" s="22" t="n">
        <v>44837</v>
      </c>
      <c r="B352" s="22" t="n">
        <v>44843</v>
      </c>
      <c r="C352">
        <f>TEXT(A352,"yyyy-mm")</f>
        <v/>
      </c>
      <c r="D352" s="20" t="n">
        <v>4.89791</v>
      </c>
      <c r="F352" s="22" t="n">
        <v>44816</v>
      </c>
      <c r="G352" s="22" t="n">
        <v>44822</v>
      </c>
      <c r="H352">
        <f>TEXT(F352,"yyyy-mm")</f>
        <v/>
      </c>
      <c r="I352" s="20" t="n">
        <v>3.36059</v>
      </c>
    </row>
    <row r="353">
      <c r="A353" s="22" t="n">
        <v>44844</v>
      </c>
      <c r="B353" s="22" t="n">
        <v>44850</v>
      </c>
      <c r="C353">
        <f>TEXT(A353,"yyyy-mm")</f>
        <v/>
      </c>
      <c r="D353" s="20" t="n">
        <v>4.93797</v>
      </c>
      <c r="F353" s="22" t="n">
        <v>44823</v>
      </c>
      <c r="G353" s="22" t="n">
        <v>44829</v>
      </c>
      <c r="H353">
        <f>TEXT(F353,"yyyy-mm")</f>
        <v/>
      </c>
      <c r="I353" s="20" t="n">
        <v>3.32404</v>
      </c>
    </row>
    <row r="354">
      <c r="A354" s="22" t="n">
        <v>44851</v>
      </c>
      <c r="B354" s="22" t="n">
        <v>44857</v>
      </c>
      <c r="C354">
        <f>TEXT(A354,"yyyy-mm")</f>
        <v/>
      </c>
      <c r="D354" s="20" t="n">
        <v>4.92471</v>
      </c>
      <c r="F354" s="22" t="n">
        <v>44830</v>
      </c>
      <c r="G354" s="22" t="n">
        <v>44836</v>
      </c>
      <c r="H354">
        <f>TEXT(F354,"yyyy-mm")</f>
        <v/>
      </c>
      <c r="I354" s="20" t="n">
        <v>3.35843</v>
      </c>
    </row>
    <row r="355">
      <c r="A355" s="22" t="n">
        <v>44858</v>
      </c>
      <c r="B355" s="22" t="n">
        <v>44864</v>
      </c>
      <c r="C355">
        <f>TEXT(A355,"yyyy-mm")</f>
        <v/>
      </c>
      <c r="D355" s="20" t="n">
        <v>4.93757</v>
      </c>
      <c r="F355" s="22" t="n">
        <v>44837</v>
      </c>
      <c r="G355" s="22" t="n">
        <v>44843</v>
      </c>
      <c r="H355">
        <f>TEXT(F355,"yyyy-mm")</f>
        <v/>
      </c>
      <c r="I355" s="20" t="n">
        <v>3.35935</v>
      </c>
    </row>
    <row r="356">
      <c r="A356" s="22" t="n">
        <v>44865</v>
      </c>
      <c r="B356" s="22" t="n">
        <v>44871</v>
      </c>
      <c r="C356">
        <f>TEXT(A356,"yyyy-mm")</f>
        <v/>
      </c>
      <c r="D356" s="20" t="n">
        <v>4.93033</v>
      </c>
      <c r="F356" s="22" t="n">
        <v>44844</v>
      </c>
      <c r="G356" s="22" t="n">
        <v>44850</v>
      </c>
      <c r="H356">
        <f>TEXT(F356,"yyyy-mm")</f>
        <v/>
      </c>
      <c r="I356" s="20" t="n">
        <v>3.37953</v>
      </c>
    </row>
    <row r="357">
      <c r="A357" s="22" t="n">
        <v>44872</v>
      </c>
      <c r="B357" s="22" t="n">
        <v>44878</v>
      </c>
      <c r="C357">
        <f>TEXT(A357,"yyyy-mm")</f>
        <v/>
      </c>
      <c r="D357" s="20" t="n">
        <v>4.90827</v>
      </c>
      <c r="F357" s="22" t="n">
        <v>44851</v>
      </c>
      <c r="G357" s="22" t="n">
        <v>44857</v>
      </c>
      <c r="H357">
        <f>TEXT(F357,"yyyy-mm")</f>
        <v/>
      </c>
      <c r="I357" s="20" t="n">
        <v>3.36228</v>
      </c>
    </row>
    <row r="358">
      <c r="A358" s="22" t="n">
        <v>44879</v>
      </c>
      <c r="B358" s="22" t="n">
        <v>44885</v>
      </c>
      <c r="C358">
        <f>TEXT(A358,"yyyy-mm")</f>
        <v/>
      </c>
      <c r="D358" s="20" t="n">
        <v>4.91132</v>
      </c>
      <c r="F358" s="22" t="n">
        <v>44858</v>
      </c>
      <c r="G358" s="22" t="n">
        <v>44864</v>
      </c>
      <c r="H358">
        <f>TEXT(F358,"yyyy-mm")</f>
        <v/>
      </c>
      <c r="I358" s="20" t="n">
        <v>3.39846</v>
      </c>
    </row>
    <row r="359">
      <c r="A359" s="22" t="n">
        <v>44886</v>
      </c>
      <c r="B359" s="22" t="n">
        <v>44892</v>
      </c>
      <c r="C359">
        <f>TEXT(A359,"yyyy-mm")</f>
        <v/>
      </c>
      <c r="D359" s="20" t="n">
        <v>4.88801</v>
      </c>
      <c r="F359" s="22" t="n">
        <v>44865</v>
      </c>
      <c r="G359" s="22" t="n">
        <v>44871</v>
      </c>
      <c r="H359">
        <f>TEXT(F359,"yyyy-mm")</f>
        <v/>
      </c>
      <c r="I359" s="20" t="n">
        <v>3.39357</v>
      </c>
    </row>
    <row r="360">
      <c r="A360" s="22" t="n">
        <v>44893</v>
      </c>
      <c r="B360" s="22" t="n">
        <v>44899</v>
      </c>
      <c r="C360">
        <f>TEXT(A360,"yyyy-mm")</f>
        <v/>
      </c>
      <c r="D360" s="20" t="n">
        <v>4.87471</v>
      </c>
      <c r="F360" s="22" t="n">
        <v>44872</v>
      </c>
      <c r="G360" s="22" t="n">
        <v>44878</v>
      </c>
      <c r="H360">
        <f>TEXT(F360,"yyyy-mm")</f>
        <v/>
      </c>
      <c r="I360" s="20" t="n">
        <v>3.37435</v>
      </c>
    </row>
    <row r="361">
      <c r="A361" s="22" t="n">
        <v>44900</v>
      </c>
      <c r="B361" s="22" t="n">
        <v>44906</v>
      </c>
      <c r="C361">
        <f>TEXT(A361,"yyyy-mm")</f>
        <v/>
      </c>
      <c r="D361" s="20" t="n">
        <v>4.64953</v>
      </c>
      <c r="F361" s="22" t="n">
        <v>44879</v>
      </c>
      <c r="G361" s="22" t="n">
        <v>44885</v>
      </c>
      <c r="H361">
        <f>TEXT(F361,"yyyy-mm")</f>
        <v/>
      </c>
      <c r="I361" s="20" t="n">
        <v>3.35471</v>
      </c>
    </row>
    <row r="362">
      <c r="A362" s="22" t="n">
        <v>44907</v>
      </c>
      <c r="B362" s="22" t="n">
        <v>44913</v>
      </c>
      <c r="C362">
        <f>TEXT(A362,"yyyy-mm")</f>
        <v/>
      </c>
      <c r="D362" s="20" t="n">
        <v>4.43859</v>
      </c>
      <c r="F362" s="22" t="n">
        <v>44886</v>
      </c>
      <c r="G362" s="22" t="n">
        <v>44892</v>
      </c>
      <c r="H362">
        <f>TEXT(F362,"yyyy-mm")</f>
        <v/>
      </c>
      <c r="I362" s="20" t="n">
        <v>3.34063</v>
      </c>
    </row>
    <row r="363">
      <c r="A363" s="22" t="n">
        <v>44914</v>
      </c>
      <c r="B363" s="22" t="n">
        <v>44920</v>
      </c>
      <c r="C363">
        <f>TEXT(A363,"yyyy-mm")</f>
        <v/>
      </c>
      <c r="D363" s="20" t="n">
        <v>4.46317</v>
      </c>
      <c r="F363" s="22" t="n">
        <v>44893</v>
      </c>
      <c r="G363" s="22" t="n">
        <v>44899</v>
      </c>
      <c r="H363">
        <f>TEXT(F363,"yyyy-mm")</f>
        <v/>
      </c>
      <c r="I363" s="20" t="n">
        <v>3.35286</v>
      </c>
    </row>
    <row r="364">
      <c r="A364" s="22" t="n">
        <v>44921</v>
      </c>
      <c r="B364" s="22" t="n">
        <v>44927</v>
      </c>
      <c r="C364">
        <f>TEXT(A364,"yyyy-mm")</f>
        <v/>
      </c>
      <c r="D364" s="20" t="n">
        <v>4.48836</v>
      </c>
      <c r="F364" s="22" t="n">
        <v>44900</v>
      </c>
      <c r="G364" s="22" t="n">
        <v>44906</v>
      </c>
      <c r="H364">
        <f>TEXT(F364,"yyyy-mm")</f>
        <v/>
      </c>
      <c r="I364" s="20" t="n">
        <v>3.2262</v>
      </c>
    </row>
    <row r="365">
      <c r="A365" s="22" t="n">
        <v>44928</v>
      </c>
      <c r="B365" s="22" t="n">
        <v>44934</v>
      </c>
      <c r="C365">
        <f>TEXT(A365,"yyyy-mm")</f>
        <v/>
      </c>
      <c r="D365" s="20" t="n">
        <v>4.51252</v>
      </c>
      <c r="F365" s="22" t="n">
        <v>44907</v>
      </c>
      <c r="G365" s="22" t="n">
        <v>44913</v>
      </c>
      <c r="H365">
        <f>TEXT(F365,"yyyy-mm")</f>
        <v/>
      </c>
      <c r="I365" s="20" t="n">
        <v>3.13762</v>
      </c>
    </row>
    <row r="366">
      <c r="A366" s="22" t="n">
        <v>44935</v>
      </c>
      <c r="B366" s="22" t="n">
        <v>44941</v>
      </c>
      <c r="C366">
        <f>TEXT(A366,"yyyy-mm")</f>
        <v/>
      </c>
      <c r="D366" s="20" t="n">
        <v>4.521</v>
      </c>
      <c r="F366" s="22" t="n">
        <v>44914</v>
      </c>
      <c r="G366" s="22" t="n">
        <v>44920</v>
      </c>
      <c r="H366">
        <f>TEXT(F366,"yyyy-mm")</f>
        <v/>
      </c>
      <c r="I366" s="20" t="n">
        <v>3.14841</v>
      </c>
    </row>
    <row r="367">
      <c r="A367" s="22" t="n">
        <v>44942</v>
      </c>
      <c r="B367" s="22" t="n">
        <v>44948</v>
      </c>
      <c r="C367">
        <f>TEXT(A367,"yyyy-mm")</f>
        <v/>
      </c>
      <c r="D367" s="20" t="n">
        <v>4.49976</v>
      </c>
      <c r="F367" s="22" t="n">
        <v>44921</v>
      </c>
      <c r="G367" s="22" t="n">
        <v>44927</v>
      </c>
      <c r="H367">
        <f>TEXT(F367,"yyyy-mm")</f>
        <v/>
      </c>
      <c r="I367" s="20" t="n">
        <v>3.27162</v>
      </c>
    </row>
    <row r="368">
      <c r="A368" s="22" t="n">
        <v>44949</v>
      </c>
      <c r="B368" s="22" t="n">
        <v>44955</v>
      </c>
      <c r="C368">
        <f>TEXT(A368,"yyyy-mm")</f>
        <v/>
      </c>
      <c r="D368" s="20" t="n">
        <v>4.48706</v>
      </c>
      <c r="F368" s="22" t="n">
        <v>44928</v>
      </c>
      <c r="G368" s="22" t="n">
        <v>44934</v>
      </c>
      <c r="H368">
        <f>TEXT(F368,"yyyy-mm")</f>
        <v/>
      </c>
      <c r="I368" s="20" t="n">
        <v>3.11327</v>
      </c>
    </row>
    <row r="369">
      <c r="A369" s="22" t="n">
        <v>44956</v>
      </c>
      <c r="B369" s="22" t="n">
        <v>44962</v>
      </c>
      <c r="C369">
        <f>TEXT(A369,"yyyy-mm")</f>
        <v/>
      </c>
      <c r="D369" s="20" t="n">
        <v>4.51285</v>
      </c>
      <c r="F369" s="22" t="n">
        <v>44935</v>
      </c>
      <c r="G369" s="22" t="n">
        <v>44941</v>
      </c>
      <c r="H369">
        <f>TEXT(F369,"yyyy-mm")</f>
        <v/>
      </c>
      <c r="I369" s="20" t="n">
        <v>3.1555</v>
      </c>
    </row>
    <row r="370">
      <c r="A370" s="22" t="n">
        <v>44963</v>
      </c>
      <c r="B370" s="22" t="n">
        <v>44969</v>
      </c>
      <c r="C370">
        <f>TEXT(A370,"yyyy-mm")</f>
        <v/>
      </c>
      <c r="D370" s="20" t="n">
        <v>4.21947</v>
      </c>
      <c r="F370" s="22" t="n">
        <v>44942</v>
      </c>
      <c r="G370" s="22" t="n">
        <v>44948</v>
      </c>
      <c r="H370">
        <f>TEXT(F370,"yyyy-mm")</f>
        <v/>
      </c>
      <c r="I370" s="20" t="n">
        <v>3.14277</v>
      </c>
    </row>
    <row r="371">
      <c r="A371" s="22" t="n">
        <v>44970</v>
      </c>
      <c r="B371" s="22" t="n">
        <v>44976</v>
      </c>
      <c r="C371">
        <f>TEXT(A371,"yyyy-mm")</f>
        <v/>
      </c>
      <c r="D371" s="20" t="n">
        <v>4.11802</v>
      </c>
      <c r="F371" s="22" t="n">
        <v>44949</v>
      </c>
      <c r="G371" s="22" t="n">
        <v>44955</v>
      </c>
      <c r="H371">
        <f>TEXT(F371,"yyyy-mm")</f>
        <v/>
      </c>
      <c r="I371" s="20" t="n">
        <v>3.28441</v>
      </c>
    </row>
    <row r="372">
      <c r="A372" s="22" t="n">
        <v>44977</v>
      </c>
      <c r="B372" s="22" t="n">
        <v>44983</v>
      </c>
      <c r="C372">
        <f>TEXT(A372,"yyyy-mm")</f>
        <v/>
      </c>
      <c r="D372" s="20" t="n">
        <v>4.10048</v>
      </c>
      <c r="F372" s="22" t="n">
        <v>44956</v>
      </c>
      <c r="G372" s="22" t="n">
        <v>44962</v>
      </c>
      <c r="H372">
        <f>TEXT(F372,"yyyy-mm")</f>
        <v/>
      </c>
      <c r="I372" s="20" t="n">
        <v>3.34897</v>
      </c>
    </row>
    <row r="373">
      <c r="A373" s="22" t="n">
        <v>44984</v>
      </c>
      <c r="B373" s="22" t="n">
        <v>44990</v>
      </c>
      <c r="C373">
        <f>TEXT(A373,"yyyy-mm")</f>
        <v/>
      </c>
      <c r="D373" s="20" t="n">
        <v>4.05119</v>
      </c>
      <c r="F373" s="22" t="n">
        <v>44963</v>
      </c>
      <c r="G373" s="22" t="n">
        <v>44969</v>
      </c>
      <c r="H373">
        <f>TEXT(F373,"yyyy-mm")</f>
        <v/>
      </c>
      <c r="I373" s="20" t="n">
        <v>3.31932</v>
      </c>
    </row>
    <row r="374">
      <c r="A374" s="22" t="n">
        <v>44991</v>
      </c>
      <c r="B374" s="22" t="n">
        <v>44997</v>
      </c>
      <c r="C374">
        <f>TEXT(A374,"yyyy-mm")</f>
        <v/>
      </c>
      <c r="D374" s="20" t="n">
        <v>4.01904</v>
      </c>
      <c r="F374" s="22" t="n">
        <v>44970</v>
      </c>
      <c r="G374" s="22" t="n">
        <v>44976</v>
      </c>
      <c r="H374">
        <f>TEXT(F374,"yyyy-mm")</f>
        <v/>
      </c>
      <c r="I374" s="20" t="n">
        <v>3.41036</v>
      </c>
    </row>
    <row r="375">
      <c r="A375" s="22" t="n">
        <v>44998</v>
      </c>
      <c r="B375" s="22" t="n">
        <v>45004</v>
      </c>
      <c r="C375">
        <f>TEXT(A375,"yyyy-mm")</f>
        <v/>
      </c>
      <c r="D375" s="20" t="n">
        <v>4.01161</v>
      </c>
      <c r="F375" s="22" t="n">
        <v>44977</v>
      </c>
      <c r="G375" s="22" t="n">
        <v>44983</v>
      </c>
      <c r="H375">
        <f>TEXT(F375,"yyyy-mm")</f>
        <v/>
      </c>
      <c r="I375" s="20" t="n">
        <v>3.44324</v>
      </c>
    </row>
    <row r="376">
      <c r="A376" s="22" t="n">
        <v>45005</v>
      </c>
      <c r="B376" s="22" t="n">
        <v>45011</v>
      </c>
      <c r="C376">
        <f>TEXT(A376,"yyyy-mm")</f>
        <v/>
      </c>
      <c r="D376" s="20" t="n">
        <v>3.92783</v>
      </c>
      <c r="F376" s="22" t="n">
        <v>44984</v>
      </c>
      <c r="G376" s="22" t="n">
        <v>44990</v>
      </c>
      <c r="H376">
        <f>TEXT(F376,"yyyy-mm")</f>
        <v/>
      </c>
      <c r="I376" s="20" t="n">
        <v>3.56164</v>
      </c>
    </row>
    <row r="377">
      <c r="A377" s="22" t="n">
        <v>45012</v>
      </c>
      <c r="B377" s="22" t="n">
        <v>45018</v>
      </c>
      <c r="C377">
        <f>TEXT(A377,"yyyy-mm")</f>
        <v/>
      </c>
      <c r="D377" s="20" t="n">
        <v>3.84343</v>
      </c>
      <c r="F377" s="22" t="n">
        <v>44991</v>
      </c>
      <c r="G377" s="22" t="n">
        <v>44997</v>
      </c>
      <c r="H377">
        <f>TEXT(F377,"yyyy-mm")</f>
        <v/>
      </c>
      <c r="I377" s="20" t="n">
        <v>3.66494</v>
      </c>
    </row>
    <row r="378">
      <c r="A378" s="22" t="n">
        <v>45019</v>
      </c>
      <c r="B378" s="22" t="n">
        <v>45025</v>
      </c>
      <c r="C378">
        <f>TEXT(A378,"yyyy-mm")</f>
        <v/>
      </c>
      <c r="D378" s="20" t="n">
        <v>3.84264</v>
      </c>
      <c r="F378" s="22" t="n">
        <v>44998</v>
      </c>
      <c r="G378" s="22" t="n">
        <v>45004</v>
      </c>
      <c r="H378">
        <f>TEXT(F378,"yyyy-mm")</f>
        <v/>
      </c>
      <c r="I378" s="20" t="n">
        <v>3.67639</v>
      </c>
    </row>
    <row r="379">
      <c r="A379" s="22" t="n">
        <v>45026</v>
      </c>
      <c r="B379" s="22" t="n">
        <v>45032</v>
      </c>
      <c r="C379">
        <f>TEXT(A379,"yyyy-mm")</f>
        <v/>
      </c>
      <c r="D379" s="20" t="n">
        <v>3.81157</v>
      </c>
      <c r="F379" s="22" t="n">
        <v>45005</v>
      </c>
      <c r="G379" s="22" t="n">
        <v>45011</v>
      </c>
      <c r="H379">
        <f>TEXT(F379,"yyyy-mm")</f>
        <v/>
      </c>
      <c r="I379" s="20" t="n">
        <v>3.6328</v>
      </c>
    </row>
    <row r="380">
      <c r="A380" s="22" t="n">
        <v>45033</v>
      </c>
      <c r="B380" s="22" t="n">
        <v>45039</v>
      </c>
      <c r="C380">
        <f>TEXT(A380,"yyyy-mm")</f>
        <v/>
      </c>
      <c r="D380" s="20" t="n">
        <v>3.78573</v>
      </c>
      <c r="F380" s="22" t="n">
        <v>45012</v>
      </c>
      <c r="G380" s="22" t="n">
        <v>45018</v>
      </c>
      <c r="H380">
        <f>TEXT(F380,"yyyy-mm")</f>
        <v/>
      </c>
      <c r="I380" s="20" t="n">
        <v>3.62361</v>
      </c>
    </row>
    <row r="381">
      <c r="A381" s="22" t="n">
        <v>45040</v>
      </c>
      <c r="B381" s="22" t="n">
        <v>45046</v>
      </c>
      <c r="C381">
        <f>TEXT(A381,"yyyy-mm")</f>
        <v/>
      </c>
      <c r="D381" s="20" t="n">
        <v>3.69323</v>
      </c>
      <c r="F381" s="22" t="n">
        <v>45019</v>
      </c>
      <c r="G381" s="22" t="n">
        <v>45025</v>
      </c>
      <c r="H381">
        <f>TEXT(F381,"yyyy-mm")</f>
        <v/>
      </c>
      <c r="I381" s="20" t="n">
        <v>3.65313</v>
      </c>
    </row>
    <row r="382">
      <c r="A382" s="22" t="n">
        <v>45047</v>
      </c>
      <c r="B382" s="22" t="n">
        <v>45053</v>
      </c>
      <c r="C382">
        <f>TEXT(A382,"yyyy-mm")</f>
        <v/>
      </c>
      <c r="D382" s="20" t="n">
        <v>3.50104</v>
      </c>
      <c r="F382" s="22" t="n">
        <v>45026</v>
      </c>
      <c r="G382" s="22" t="n">
        <v>45032</v>
      </c>
      <c r="H382">
        <f>TEXT(F382,"yyyy-mm")</f>
        <v/>
      </c>
      <c r="I382" s="20" t="n">
        <v>3.65487</v>
      </c>
    </row>
    <row r="383">
      <c r="A383" s="22" t="n">
        <v>45054</v>
      </c>
      <c r="B383" s="22" t="n">
        <v>45060</v>
      </c>
      <c r="C383">
        <f>TEXT(A383,"yyyy-mm")</f>
        <v/>
      </c>
      <c r="D383" s="20" t="n">
        <v>3.45019</v>
      </c>
      <c r="F383" s="22" t="n">
        <v>45033</v>
      </c>
      <c r="G383" s="22" t="n">
        <v>45039</v>
      </c>
      <c r="H383">
        <f>TEXT(F383,"yyyy-mm")</f>
        <v/>
      </c>
      <c r="I383" s="20" t="n">
        <v>3.64723</v>
      </c>
    </row>
    <row r="384">
      <c r="A384" s="22" t="n">
        <v>45061</v>
      </c>
      <c r="B384" s="22" t="n">
        <v>45067</v>
      </c>
      <c r="C384">
        <f>TEXT(A384,"yyyy-mm")</f>
        <v/>
      </c>
      <c r="D384" s="20" t="n">
        <v>3.16504</v>
      </c>
      <c r="F384" s="22" t="n">
        <v>45040</v>
      </c>
      <c r="G384" s="22" t="n">
        <v>45046</v>
      </c>
      <c r="H384">
        <f>TEXT(F384,"yyyy-mm")</f>
        <v/>
      </c>
      <c r="I384" s="20" t="n">
        <v>3.62202</v>
      </c>
    </row>
    <row r="385">
      <c r="A385" s="22" t="n">
        <v>45068</v>
      </c>
      <c r="B385" s="22" t="n">
        <v>45074</v>
      </c>
      <c r="C385">
        <f>TEXT(A385,"yyyy-mm")</f>
        <v/>
      </c>
      <c r="D385" s="20" t="n">
        <v>3.05862</v>
      </c>
      <c r="F385" s="22" t="n">
        <v>45047</v>
      </c>
      <c r="G385" s="22" t="n">
        <v>45053</v>
      </c>
      <c r="H385">
        <f>TEXT(F385,"yyyy-mm")</f>
        <v/>
      </c>
      <c r="I385" s="20" t="n">
        <v>3.65114</v>
      </c>
    </row>
    <row r="386">
      <c r="A386" s="22" t="n">
        <v>45075</v>
      </c>
      <c r="B386" s="22" t="n">
        <v>45081</v>
      </c>
      <c r="C386">
        <f>TEXT(A386,"yyyy-mm")</f>
        <v/>
      </c>
      <c r="D386" s="20" t="n">
        <v>3.06386</v>
      </c>
      <c r="F386" s="22" t="n">
        <v>45054</v>
      </c>
      <c r="G386" s="22" t="n">
        <v>45060</v>
      </c>
      <c r="H386">
        <f>TEXT(F386,"yyyy-mm")</f>
        <v/>
      </c>
      <c r="I386" s="20" t="n">
        <v>3.61405</v>
      </c>
    </row>
    <row r="387">
      <c r="A387" s="22" t="n">
        <v>45082</v>
      </c>
      <c r="B387" s="22" t="n">
        <v>45088</v>
      </c>
      <c r="C387">
        <f>TEXT(A387,"yyyy-mm")</f>
        <v/>
      </c>
      <c r="D387" s="20" t="n">
        <v>3.05322</v>
      </c>
      <c r="F387" s="22" t="n">
        <v>45061</v>
      </c>
      <c r="G387" s="22" t="n">
        <v>45067</v>
      </c>
      <c r="H387">
        <f>TEXT(F387,"yyyy-mm")</f>
        <v/>
      </c>
      <c r="I387" s="20" t="n">
        <v>3.37626</v>
      </c>
    </row>
    <row r="388">
      <c r="A388" s="22" t="n">
        <v>45089</v>
      </c>
      <c r="B388" s="22" t="n">
        <v>45095</v>
      </c>
      <c r="C388">
        <f>TEXT(A388,"yyyy-mm")</f>
        <v/>
      </c>
      <c r="D388" s="20" t="n">
        <v>3.02883</v>
      </c>
      <c r="F388" s="22" t="n">
        <v>45068</v>
      </c>
      <c r="G388" s="22" t="n">
        <v>45074</v>
      </c>
      <c r="H388">
        <f>TEXT(F388,"yyyy-mm")</f>
        <v/>
      </c>
      <c r="I388" s="20" t="n">
        <v>3.21942</v>
      </c>
    </row>
    <row r="389">
      <c r="A389" s="22" t="n">
        <v>45096</v>
      </c>
      <c r="B389" s="22" t="n">
        <v>45102</v>
      </c>
      <c r="C389">
        <f>TEXT(A389,"yyyy-mm")</f>
        <v/>
      </c>
      <c r="D389" s="20" t="n">
        <v>3.04303</v>
      </c>
      <c r="F389" s="22" t="n">
        <v>45075</v>
      </c>
      <c r="G389" s="22" t="n">
        <v>45081</v>
      </c>
      <c r="H389">
        <f>TEXT(F389,"yyyy-mm")</f>
        <v/>
      </c>
      <c r="I389" s="20" t="n">
        <v>3.45064</v>
      </c>
    </row>
    <row r="390">
      <c r="A390" s="22" t="n">
        <v>45103</v>
      </c>
      <c r="B390" s="22" t="n">
        <v>45109</v>
      </c>
      <c r="C390">
        <f>TEXT(A390,"yyyy-mm")</f>
        <v/>
      </c>
      <c r="D390" s="20" t="n">
        <v>3.04626</v>
      </c>
      <c r="F390" s="22" t="n">
        <v>45082</v>
      </c>
      <c r="G390" s="22" t="n">
        <v>45088</v>
      </c>
      <c r="H390">
        <f>TEXT(F390,"yyyy-mm")</f>
        <v/>
      </c>
      <c r="I390" s="20" t="n">
        <v>3.34028</v>
      </c>
    </row>
    <row r="391">
      <c r="A391" s="22" t="n">
        <v>45110</v>
      </c>
      <c r="B391" s="22" t="n">
        <v>45116</v>
      </c>
      <c r="C391">
        <f>TEXT(A391,"yyyy-mm")</f>
        <v/>
      </c>
      <c r="D391" s="20" t="n">
        <v>3.06048</v>
      </c>
      <c r="F391" s="22" t="n">
        <v>45089</v>
      </c>
      <c r="G391" s="22" t="n">
        <v>45095</v>
      </c>
      <c r="H391">
        <f>TEXT(F391,"yyyy-mm")</f>
        <v/>
      </c>
      <c r="I391" s="20" t="n">
        <v>3.27396</v>
      </c>
    </row>
    <row r="392">
      <c r="A392" s="22" t="n">
        <v>45117</v>
      </c>
      <c r="B392" s="22" t="n">
        <v>45123</v>
      </c>
      <c r="C392">
        <f>TEXT(A392,"yyyy-mm")</f>
        <v/>
      </c>
      <c r="D392" s="20" t="n">
        <v>3.07277</v>
      </c>
      <c r="F392" s="22" t="n">
        <v>45096</v>
      </c>
      <c r="G392" s="22" t="n">
        <v>45102</v>
      </c>
      <c r="H392">
        <f>TEXT(F392,"yyyy-mm")</f>
        <v/>
      </c>
      <c r="I392" s="20" t="n">
        <v>3.31719</v>
      </c>
    </row>
    <row r="393">
      <c r="A393" s="22" t="n">
        <v>45124</v>
      </c>
      <c r="B393" s="22" t="n">
        <v>45130</v>
      </c>
      <c r="C393">
        <f>TEXT(A393,"yyyy-mm")</f>
        <v/>
      </c>
      <c r="D393" s="20" t="n">
        <v>3.06568</v>
      </c>
      <c r="F393" s="22" t="n">
        <v>45103</v>
      </c>
      <c r="G393" s="22" t="n">
        <v>45109</v>
      </c>
      <c r="H393">
        <f>TEXT(F393,"yyyy-mm")</f>
        <v/>
      </c>
      <c r="I393" s="20" t="n">
        <v>3.41772</v>
      </c>
    </row>
    <row r="394">
      <c r="A394" s="22" t="n">
        <v>45131</v>
      </c>
      <c r="B394" s="22" t="n">
        <v>45137</v>
      </c>
      <c r="C394">
        <f>TEXT(A394,"yyyy-mm")</f>
        <v/>
      </c>
      <c r="D394" s="20" t="n">
        <v>3.05907</v>
      </c>
      <c r="F394" s="22" t="n">
        <v>45110</v>
      </c>
      <c r="G394" s="22" t="n">
        <v>45116</v>
      </c>
      <c r="H394">
        <f>TEXT(F394,"yyyy-mm")</f>
        <v/>
      </c>
      <c r="I394" s="20" t="n">
        <v>3.43779</v>
      </c>
    </row>
    <row r="395">
      <c r="A395" s="22" t="n">
        <v>45138</v>
      </c>
      <c r="B395" s="22" t="n">
        <v>45144</v>
      </c>
      <c r="C395">
        <f>TEXT(A395,"yyyy-mm")</f>
        <v/>
      </c>
      <c r="D395" s="20" t="n">
        <v>3.08166</v>
      </c>
      <c r="F395" s="22" t="n">
        <v>45117</v>
      </c>
      <c r="G395" s="22" t="n">
        <v>45123</v>
      </c>
      <c r="H395">
        <f>TEXT(F395,"yyyy-mm")</f>
        <v/>
      </c>
      <c r="I395" s="20" t="n">
        <v>3.51856</v>
      </c>
    </row>
    <row r="396">
      <c r="A396" s="22" t="n">
        <v>45145</v>
      </c>
      <c r="B396" s="22" t="n">
        <v>45151</v>
      </c>
      <c r="C396">
        <f>TEXT(A396,"yyyy-mm")</f>
        <v/>
      </c>
      <c r="D396" s="20" t="n">
        <v>3.14721</v>
      </c>
      <c r="F396" s="22" t="n">
        <v>45124</v>
      </c>
      <c r="G396" s="22" t="n">
        <v>45130</v>
      </c>
      <c r="H396">
        <f>TEXT(F396,"yyyy-mm")</f>
        <v/>
      </c>
      <c r="I396" s="20" t="n">
        <v>3.55586</v>
      </c>
    </row>
    <row r="397">
      <c r="A397" s="22" t="n">
        <v>45152</v>
      </c>
      <c r="B397" s="22" t="n">
        <v>45158</v>
      </c>
      <c r="C397">
        <f>TEXT(A397,"yyyy-mm")</f>
        <v/>
      </c>
      <c r="D397" s="20" t="n">
        <v>3.67095</v>
      </c>
      <c r="F397" s="22" t="n">
        <v>45131</v>
      </c>
      <c r="G397" s="22" t="n">
        <v>45137</v>
      </c>
      <c r="H397">
        <f>TEXT(F397,"yyyy-mm")</f>
        <v/>
      </c>
      <c r="I397" s="20" t="n">
        <v>3.51631</v>
      </c>
    </row>
    <row r="398">
      <c r="A398" s="22" t="n">
        <v>45159</v>
      </c>
      <c r="B398" s="22" t="n">
        <v>45165</v>
      </c>
      <c r="C398">
        <f>TEXT(A398,"yyyy-mm")</f>
        <v/>
      </c>
      <c r="D398" s="20" t="n">
        <v>3.87368</v>
      </c>
      <c r="F398" s="22" t="n">
        <v>45138</v>
      </c>
      <c r="G398" s="22" t="n">
        <v>45144</v>
      </c>
      <c r="H398">
        <f>TEXT(F398,"yyyy-mm")</f>
        <v/>
      </c>
      <c r="I398" s="20" t="n">
        <v>3.55522</v>
      </c>
    </row>
    <row r="399">
      <c r="A399" s="22" t="n">
        <v>45166</v>
      </c>
      <c r="B399" s="22" t="n">
        <v>45172</v>
      </c>
      <c r="C399">
        <f>TEXT(A399,"yyyy-mm")</f>
        <v/>
      </c>
      <c r="D399" s="20" t="n">
        <v>3.86794</v>
      </c>
      <c r="F399" s="22" t="n">
        <v>45145</v>
      </c>
      <c r="G399" s="22" t="n">
        <v>45151</v>
      </c>
      <c r="H399">
        <f>TEXT(F399,"yyyy-mm")</f>
        <v/>
      </c>
      <c r="I399" s="20" t="n">
        <v>3.61817</v>
      </c>
    </row>
    <row r="400">
      <c r="A400" s="22" t="n">
        <v>45173</v>
      </c>
      <c r="B400" s="22" t="n">
        <v>45179</v>
      </c>
      <c r="C400">
        <f>TEXT(A400,"yyyy-mm")</f>
        <v/>
      </c>
      <c r="D400" s="20" t="n">
        <v>3.95706</v>
      </c>
      <c r="F400" s="22" t="n">
        <v>45152</v>
      </c>
      <c r="G400" s="22" t="n">
        <v>45158</v>
      </c>
      <c r="H400">
        <f>TEXT(F400,"yyyy-mm")</f>
        <v/>
      </c>
      <c r="I400" s="20" t="n">
        <v>3.83631</v>
      </c>
    </row>
    <row r="401">
      <c r="A401" s="22" t="n">
        <v>45180</v>
      </c>
      <c r="B401" s="22" t="n">
        <v>45186</v>
      </c>
      <c r="C401">
        <f>TEXT(A401,"yyyy-mm")</f>
        <v/>
      </c>
      <c r="D401" s="20" t="n">
        <v>4.00773</v>
      </c>
      <c r="F401" s="22" t="n">
        <v>45159</v>
      </c>
      <c r="G401" s="22" t="n">
        <v>45165</v>
      </c>
      <c r="H401">
        <f>TEXT(F401,"yyyy-mm")</f>
        <v/>
      </c>
      <c r="I401" s="20" t="n">
        <v>4.12077</v>
      </c>
    </row>
    <row r="402">
      <c r="A402" s="22" t="n">
        <v>45187</v>
      </c>
      <c r="B402" s="22" t="n">
        <v>45193</v>
      </c>
      <c r="C402">
        <f>TEXT(A402,"yyyy-mm")</f>
        <v/>
      </c>
      <c r="D402" s="20" t="n">
        <v>4.03756</v>
      </c>
      <c r="F402" s="22" t="n">
        <v>45166</v>
      </c>
      <c r="G402" s="22" t="n">
        <v>45172</v>
      </c>
      <c r="H402">
        <f>TEXT(F402,"yyyy-mm")</f>
        <v/>
      </c>
      <c r="I402" s="20" t="n">
        <v>3.93964</v>
      </c>
    </row>
    <row r="403">
      <c r="A403" s="22" t="n">
        <v>45194</v>
      </c>
      <c r="B403" s="22" t="n">
        <v>45200</v>
      </c>
      <c r="C403">
        <f>TEXT(A403,"yyyy-mm")</f>
        <v/>
      </c>
      <c r="D403" s="20" t="n">
        <v>4.06648</v>
      </c>
      <c r="F403" s="22" t="n">
        <v>45173</v>
      </c>
      <c r="G403" s="22" t="n">
        <v>45179</v>
      </c>
      <c r="H403">
        <f>TEXT(F403,"yyyy-mm")</f>
        <v/>
      </c>
      <c r="I403" s="20" t="n">
        <v>3.93582</v>
      </c>
    </row>
    <row r="404">
      <c r="A404" s="22" t="n">
        <v>45201</v>
      </c>
      <c r="B404" s="22" t="n">
        <v>45207</v>
      </c>
      <c r="C404">
        <f>TEXT(A404,"yyyy-mm")</f>
        <v/>
      </c>
      <c r="D404" s="20" t="n">
        <v>3.97808</v>
      </c>
      <c r="F404" s="22" t="n">
        <v>45180</v>
      </c>
      <c r="G404" s="22" t="n">
        <v>45186</v>
      </c>
      <c r="H404">
        <f>TEXT(F404,"yyyy-mm")</f>
        <v/>
      </c>
      <c r="I404" s="20" t="n">
        <v>4.01845</v>
      </c>
    </row>
    <row r="405">
      <c r="A405" s="22" t="n">
        <v>45208</v>
      </c>
      <c r="B405" s="22" t="n">
        <v>45214</v>
      </c>
      <c r="C405">
        <f>TEXT(A405,"yyyy-mm")</f>
        <v/>
      </c>
      <c r="D405" s="20" t="n">
        <v>3.93038</v>
      </c>
      <c r="F405" s="22" t="n">
        <v>45187</v>
      </c>
      <c r="G405" s="22" t="n">
        <v>45193</v>
      </c>
      <c r="H405">
        <f>TEXT(F405,"yyyy-mm")</f>
        <v/>
      </c>
      <c r="I405" s="20" t="n">
        <v>3.99736</v>
      </c>
    </row>
    <row r="406">
      <c r="A406" s="22" t="n">
        <v>45215</v>
      </c>
      <c r="B406" s="22" t="n">
        <v>45221</v>
      </c>
      <c r="C406">
        <f>TEXT(A406,"yyyy-mm")</f>
        <v/>
      </c>
      <c r="D406" s="20" t="n">
        <v>3.95782</v>
      </c>
      <c r="F406" s="22" t="n">
        <v>45194</v>
      </c>
      <c r="G406" s="22" t="n">
        <v>45200</v>
      </c>
      <c r="H406">
        <f>TEXT(F406,"yyyy-mm")</f>
        <v/>
      </c>
      <c r="I406" s="20" t="n">
        <v>3.95047</v>
      </c>
    </row>
    <row r="407">
      <c r="A407" s="22" t="n">
        <v>45222</v>
      </c>
      <c r="B407" s="22" t="n">
        <v>45228</v>
      </c>
      <c r="C407">
        <f>TEXT(A407,"yyyy-mm")</f>
        <v/>
      </c>
      <c r="D407" s="20" t="n">
        <v>4.1308</v>
      </c>
      <c r="F407" s="22" t="n">
        <v>45201</v>
      </c>
      <c r="G407" s="22" t="n">
        <v>45207</v>
      </c>
      <c r="H407">
        <f>TEXT(F407,"yyyy-mm")</f>
        <v/>
      </c>
      <c r="I407" s="20" t="n">
        <v>3.93145</v>
      </c>
    </row>
    <row r="408">
      <c r="A408" s="22" t="n">
        <v>45229</v>
      </c>
      <c r="B408" s="22" t="n">
        <v>45235</v>
      </c>
      <c r="C408">
        <f>TEXT(A408,"yyyy-mm")</f>
        <v/>
      </c>
      <c r="D408" s="20" t="n">
        <v>4.25141</v>
      </c>
      <c r="F408" s="22" t="n">
        <v>45208</v>
      </c>
      <c r="G408" s="22" t="n">
        <v>45214</v>
      </c>
      <c r="H408">
        <f>TEXT(F408,"yyyy-mm")</f>
        <v/>
      </c>
      <c r="I408" s="20" t="n">
        <v>3.86012</v>
      </c>
    </row>
    <row r="409">
      <c r="A409" s="22" t="n">
        <v>45236</v>
      </c>
      <c r="B409" s="22" t="n">
        <v>45242</v>
      </c>
      <c r="C409">
        <f>TEXT(A409,"yyyy-mm")</f>
        <v/>
      </c>
      <c r="D409" s="20" t="n">
        <v>4.15856</v>
      </c>
      <c r="F409" s="22" t="n">
        <v>45215</v>
      </c>
      <c r="G409" s="22" t="n">
        <v>45221</v>
      </c>
      <c r="H409">
        <f>TEXT(F409,"yyyy-mm")</f>
        <v/>
      </c>
      <c r="I409" s="20" t="n">
        <v>3.89603</v>
      </c>
    </row>
    <row r="410">
      <c r="A410" s="22" t="n">
        <v>45243</v>
      </c>
      <c r="B410" s="22" t="n">
        <v>45249</v>
      </c>
      <c r="C410">
        <f>TEXT(A410,"yyyy-mm")</f>
        <v/>
      </c>
      <c r="D410" s="20" t="n">
        <v>4.1114</v>
      </c>
      <c r="F410" s="22" t="n">
        <v>45222</v>
      </c>
      <c r="G410" s="22" t="n">
        <v>45228</v>
      </c>
      <c r="H410">
        <f>TEXT(F410,"yyyy-mm")</f>
        <v/>
      </c>
      <c r="I410" s="20" t="n">
        <v>3.7486</v>
      </c>
    </row>
    <row r="411">
      <c r="A411" s="22" t="n">
        <v>45250</v>
      </c>
      <c r="B411" s="22" t="n">
        <v>45256</v>
      </c>
      <c r="C411">
        <f>TEXT(A411,"yyyy-mm")</f>
        <v/>
      </c>
      <c r="D411" s="20" t="n">
        <v>4.06559</v>
      </c>
      <c r="F411" s="22" t="n">
        <v>45229</v>
      </c>
      <c r="G411" s="22" t="n">
        <v>45235</v>
      </c>
      <c r="H411">
        <f>TEXT(F411,"yyyy-mm")</f>
        <v/>
      </c>
      <c r="I411" s="20" t="n">
        <v>3.80885</v>
      </c>
    </row>
    <row r="412">
      <c r="A412" s="22" t="n">
        <v>45257</v>
      </c>
      <c r="B412" s="22" t="n">
        <v>45263</v>
      </c>
      <c r="C412">
        <f>TEXT(A412,"yyyy-mm")</f>
        <v/>
      </c>
      <c r="D412" s="20" t="n">
        <v>4.04263</v>
      </c>
      <c r="F412" s="22" t="n">
        <v>45236</v>
      </c>
      <c r="G412" s="22" t="n">
        <v>45242</v>
      </c>
      <c r="H412">
        <f>TEXT(F412,"yyyy-mm")</f>
        <v/>
      </c>
      <c r="I412" s="20" t="n">
        <v>3.76099</v>
      </c>
    </row>
    <row r="413">
      <c r="A413" s="22" t="n">
        <v>45264</v>
      </c>
      <c r="B413" s="22" t="n">
        <v>45270</v>
      </c>
      <c r="C413">
        <f>TEXT(A413,"yyyy-mm")</f>
        <v/>
      </c>
      <c r="D413" s="20" t="n">
        <v>3.94158</v>
      </c>
      <c r="F413" s="22" t="n">
        <v>45243</v>
      </c>
      <c r="G413" s="22" t="n">
        <v>45249</v>
      </c>
      <c r="H413">
        <f>TEXT(F413,"yyyy-mm")</f>
        <v/>
      </c>
      <c r="I413" s="20" t="n">
        <v>3.76437</v>
      </c>
    </row>
    <row r="414">
      <c r="A414" s="22" t="n">
        <v>45271</v>
      </c>
      <c r="B414" s="22" t="n">
        <v>45277</v>
      </c>
      <c r="C414">
        <f>TEXT(A414,"yyyy-mm")</f>
        <v/>
      </c>
      <c r="D414" s="20" t="n">
        <v>3.82035</v>
      </c>
      <c r="F414" s="22" t="n">
        <v>45250</v>
      </c>
      <c r="G414" s="22" t="n">
        <v>45256</v>
      </c>
      <c r="H414">
        <f>TEXT(F414,"yyyy-mm")</f>
        <v/>
      </c>
      <c r="I414" s="20" t="n">
        <v>3.7963</v>
      </c>
    </row>
    <row r="415">
      <c r="A415" s="22" t="n">
        <v>45278</v>
      </c>
      <c r="B415" s="22" t="n">
        <v>45284</v>
      </c>
      <c r="C415">
        <f>TEXT(A415,"yyyy-mm")</f>
        <v/>
      </c>
      <c r="D415" s="20" t="n">
        <v>3.82357</v>
      </c>
      <c r="F415" s="22" t="n">
        <v>45257</v>
      </c>
      <c r="G415" s="22" t="n">
        <v>45263</v>
      </c>
      <c r="H415">
        <f>TEXT(F415,"yyyy-mm")</f>
        <v/>
      </c>
      <c r="I415" s="20" t="n">
        <v>3.73066</v>
      </c>
    </row>
    <row r="416">
      <c r="A416" s="22" t="n">
        <v>45285</v>
      </c>
      <c r="B416" s="22" t="n">
        <v>45291</v>
      </c>
      <c r="C416">
        <f>TEXT(A416,"yyyy-mm")</f>
        <v/>
      </c>
      <c r="D416" s="20" t="n">
        <v>3.86821</v>
      </c>
      <c r="F416" s="22" t="n">
        <v>45264</v>
      </c>
      <c r="G416" s="22" t="n">
        <v>45270</v>
      </c>
      <c r="H416">
        <f>TEXT(F416,"yyyy-mm")</f>
        <v/>
      </c>
      <c r="I416" s="20" t="n">
        <v>3.70337</v>
      </c>
    </row>
    <row r="417">
      <c r="A417" s="22" t="n">
        <v>45292</v>
      </c>
      <c r="B417" s="22" t="n">
        <v>45298</v>
      </c>
      <c r="C417">
        <f>TEXT(A417,"yyyy-mm")</f>
        <v/>
      </c>
      <c r="D417" s="20" t="n">
        <v>3.89078</v>
      </c>
      <c r="F417" s="22" t="n">
        <v>45271</v>
      </c>
      <c r="G417" s="22" t="n">
        <v>45277</v>
      </c>
      <c r="H417">
        <f>TEXT(F417,"yyyy-mm")</f>
        <v/>
      </c>
      <c r="I417" s="20" t="n">
        <v>3.6744</v>
      </c>
    </row>
    <row r="418">
      <c r="A418" s="22" t="n">
        <v>45299</v>
      </c>
      <c r="B418" s="22" t="n">
        <v>45305</v>
      </c>
      <c r="C418">
        <f>TEXT(A418,"yyyy-mm")</f>
        <v/>
      </c>
      <c r="D418" s="20" t="n">
        <v>3.86759</v>
      </c>
      <c r="F418" s="22" t="n">
        <v>45278</v>
      </c>
      <c r="G418" s="22" t="n">
        <v>45284</v>
      </c>
      <c r="H418">
        <f>TEXT(F418,"yyyy-mm")</f>
        <v/>
      </c>
      <c r="I418" s="20" t="n">
        <v>3.72536</v>
      </c>
    </row>
    <row r="419">
      <c r="A419" s="22" t="n">
        <v>45306</v>
      </c>
      <c r="B419" s="22" t="n">
        <v>45312</v>
      </c>
      <c r="C419">
        <f>TEXT(A419,"yyyy-mm")</f>
        <v/>
      </c>
      <c r="D419" s="20" t="n">
        <v>3.87446</v>
      </c>
      <c r="F419" s="22" t="n">
        <v>45285</v>
      </c>
      <c r="G419" s="22" t="n">
        <v>45291</v>
      </c>
      <c r="H419">
        <f>TEXT(F419,"yyyy-mm")</f>
        <v/>
      </c>
      <c r="I419" s="20" t="n">
        <v>3.68638</v>
      </c>
    </row>
    <row r="420">
      <c r="A420" s="22" t="n">
        <v>45313</v>
      </c>
      <c r="B420" s="22" t="n">
        <v>45319</v>
      </c>
      <c r="C420">
        <f>TEXT(A420,"yyyy-mm")</f>
        <v/>
      </c>
      <c r="D420" s="20" t="n">
        <v>3.86071</v>
      </c>
      <c r="F420" s="22" t="n">
        <v>45292</v>
      </c>
      <c r="G420" s="22" t="n">
        <v>45298</v>
      </c>
      <c r="H420">
        <f>TEXT(F420,"yyyy-mm")</f>
        <v/>
      </c>
      <c r="I420" s="20" t="n">
        <v>3.72341</v>
      </c>
    </row>
    <row r="421">
      <c r="A421" s="22" t="n">
        <v>45320</v>
      </c>
      <c r="B421" s="22" t="n">
        <v>45326</v>
      </c>
      <c r="C421">
        <f>TEXT(A421,"yyyy-mm")</f>
        <v/>
      </c>
      <c r="D421" s="20" t="n">
        <v>3.87811</v>
      </c>
      <c r="F421" s="22" t="n">
        <v>45299</v>
      </c>
      <c r="G421" s="22" t="n">
        <v>45305</v>
      </c>
      <c r="H421">
        <f>TEXT(F421,"yyyy-mm")</f>
        <v/>
      </c>
      <c r="I421" s="20" t="n">
        <v>3.69249</v>
      </c>
    </row>
    <row r="422">
      <c r="A422" s="22" t="n">
        <v>45327</v>
      </c>
      <c r="B422" s="22" t="n">
        <v>45333</v>
      </c>
      <c r="C422">
        <f>TEXT(A422,"yyyy-mm")</f>
        <v/>
      </c>
      <c r="D422" s="20" t="n">
        <v>3.91628</v>
      </c>
      <c r="F422" s="22" t="n">
        <v>45306</v>
      </c>
      <c r="G422" s="22" t="n">
        <v>45312</v>
      </c>
      <c r="H422">
        <f>TEXT(F422,"yyyy-mm")</f>
        <v/>
      </c>
      <c r="I422" s="20" t="n">
        <v>3.70343</v>
      </c>
    </row>
    <row r="423">
      <c r="A423" s="22" t="n">
        <v>45334</v>
      </c>
      <c r="B423" s="22" t="n">
        <v>45340</v>
      </c>
      <c r="C423">
        <f>TEXT(A423,"yyyy-mm")</f>
        <v/>
      </c>
      <c r="D423" s="20" t="n">
        <v>3.90064</v>
      </c>
      <c r="F423" s="22" t="n">
        <v>45313</v>
      </c>
      <c r="G423" s="22" t="n">
        <v>45319</v>
      </c>
      <c r="H423">
        <f>TEXT(F423,"yyyy-mm")</f>
        <v/>
      </c>
      <c r="I423" s="20" t="n">
        <v>3.72114</v>
      </c>
    </row>
    <row r="424">
      <c r="A424" s="22" t="n">
        <v>45341</v>
      </c>
      <c r="B424" s="22" t="n">
        <v>45347</v>
      </c>
      <c r="C424">
        <f>TEXT(A424,"yyyy-mm")</f>
        <v/>
      </c>
      <c r="D424" s="20" t="n">
        <v>3.88652</v>
      </c>
      <c r="F424" s="22" t="n">
        <v>45320</v>
      </c>
      <c r="G424" s="22" t="n">
        <v>45326</v>
      </c>
      <c r="H424">
        <f>TEXT(F424,"yyyy-mm")</f>
        <v/>
      </c>
      <c r="I424" s="20" t="n">
        <v>3.78524</v>
      </c>
    </row>
    <row r="425">
      <c r="A425" s="22" t="n">
        <v>45348</v>
      </c>
      <c r="B425" s="22" t="n">
        <v>45354</v>
      </c>
      <c r="C425">
        <f>TEXT(A425,"yyyy-mm")</f>
        <v/>
      </c>
      <c r="D425" s="20" t="n">
        <v>3.88737</v>
      </c>
      <c r="F425" s="22" t="n">
        <v>45327</v>
      </c>
      <c r="G425" s="22" t="n">
        <v>45333</v>
      </c>
      <c r="H425">
        <f>TEXT(F425,"yyyy-mm")</f>
        <v/>
      </c>
      <c r="I425" s="20" t="n">
        <v>3.71483</v>
      </c>
    </row>
    <row r="426">
      <c r="A426" s="22" t="n">
        <v>45355</v>
      </c>
      <c r="B426" s="22" t="n">
        <v>45361</v>
      </c>
      <c r="C426">
        <f>TEXT(A426,"yyyy-mm")</f>
        <v/>
      </c>
      <c r="D426" s="20" t="n">
        <v>3.87973</v>
      </c>
      <c r="F426" s="22" t="n">
        <v>45334</v>
      </c>
      <c r="G426" s="22" t="n">
        <v>45340</v>
      </c>
      <c r="H426">
        <f>TEXT(F426,"yyyy-mm")</f>
        <v/>
      </c>
      <c r="I426" s="20" t="n">
        <v>3.94407</v>
      </c>
    </row>
    <row r="427">
      <c r="A427" s="22" t="n">
        <v>45362</v>
      </c>
      <c r="B427" s="22" t="n">
        <v>45368</v>
      </c>
      <c r="C427">
        <f>TEXT(A427,"yyyy-mm")</f>
        <v/>
      </c>
      <c r="D427" s="20" t="n">
        <v>3.85662</v>
      </c>
      <c r="F427" s="22" t="n">
        <v>45341</v>
      </c>
      <c r="G427" s="22" t="n">
        <v>45347</v>
      </c>
      <c r="H427">
        <f>TEXT(F427,"yyyy-mm")</f>
        <v/>
      </c>
      <c r="I427" s="20" t="n">
        <v>3.73049</v>
      </c>
    </row>
    <row r="428">
      <c r="A428" s="22" t="n">
        <v>45369</v>
      </c>
      <c r="B428" s="22" t="n">
        <v>45375</v>
      </c>
      <c r="C428">
        <f>TEXT(A428,"yyyy-mm")</f>
        <v/>
      </c>
      <c r="D428" s="20" t="n">
        <v>3.86102</v>
      </c>
      <c r="F428" s="22" t="n">
        <v>45348</v>
      </c>
      <c r="G428" s="22" t="n">
        <v>45354</v>
      </c>
      <c r="H428">
        <f>TEXT(F428,"yyyy-mm")</f>
        <v/>
      </c>
      <c r="I428" s="20" t="n">
        <v>3.72907</v>
      </c>
    </row>
    <row r="429">
      <c r="A429" s="22" t="n">
        <v>45376</v>
      </c>
      <c r="B429" s="22" t="n">
        <v>45382</v>
      </c>
      <c r="C429">
        <f>TEXT(A429,"yyyy-mm")</f>
        <v/>
      </c>
      <c r="D429" s="20" t="n">
        <v>3.86757</v>
      </c>
      <c r="F429" s="22" t="n">
        <v>45355</v>
      </c>
      <c r="G429" s="22" t="n">
        <v>45361</v>
      </c>
      <c r="H429">
        <f>TEXT(F429,"yyyy-mm")</f>
        <v/>
      </c>
      <c r="I429" s="20" t="n">
        <v>3.70511</v>
      </c>
    </row>
    <row r="430">
      <c r="A430" s="22" t="n">
        <v>45383</v>
      </c>
      <c r="B430" s="22" t="n">
        <v>45389</v>
      </c>
      <c r="C430">
        <f>TEXT(A430,"yyyy-mm")</f>
        <v/>
      </c>
      <c r="D430" s="20" t="n">
        <v>3.8657</v>
      </c>
      <c r="F430" s="22" t="n">
        <v>45362</v>
      </c>
      <c r="G430" s="22" t="n">
        <v>45368</v>
      </c>
      <c r="H430">
        <f>TEXT(F430,"yyyy-mm")</f>
        <v/>
      </c>
      <c r="I430" s="20" t="n">
        <v>3.71842</v>
      </c>
    </row>
    <row r="431">
      <c r="A431" s="22" t="n">
        <v>45390</v>
      </c>
      <c r="B431" s="22" t="n">
        <v>45396</v>
      </c>
      <c r="C431">
        <f>TEXT(A431,"yyyy-mm")</f>
        <v/>
      </c>
      <c r="D431" s="20" t="n">
        <v>3.86362</v>
      </c>
      <c r="F431" s="22" t="n">
        <v>45369</v>
      </c>
      <c r="G431" s="22" t="n">
        <v>45375</v>
      </c>
      <c r="H431">
        <f>TEXT(F431,"yyyy-mm")</f>
        <v/>
      </c>
      <c r="I431" s="20" t="n">
        <v>3.71713</v>
      </c>
    </row>
    <row r="432">
      <c r="A432" s="22" t="n">
        <v>45397</v>
      </c>
      <c r="B432" s="22" t="n">
        <v>45403</v>
      </c>
      <c r="C432">
        <f>TEXT(A432,"yyyy-mm")</f>
        <v/>
      </c>
      <c r="D432" s="20" t="n">
        <v>3.87212</v>
      </c>
      <c r="F432" s="22" t="n">
        <v>45376</v>
      </c>
      <c r="G432" s="22" t="n">
        <v>45382</v>
      </c>
      <c r="H432">
        <f>TEXT(F432,"yyyy-mm")</f>
        <v/>
      </c>
      <c r="I432" s="20" t="n">
        <v>3.73565</v>
      </c>
    </row>
    <row r="433">
      <c r="A433" s="22" t="n">
        <v>45404</v>
      </c>
      <c r="B433" s="22" t="n">
        <v>45410</v>
      </c>
      <c r="C433">
        <f>TEXT(A433,"yyyy-mm")</f>
        <v/>
      </c>
      <c r="D433" s="20" t="n">
        <v>4.14123</v>
      </c>
      <c r="F433" s="22" t="n">
        <v>45383</v>
      </c>
      <c r="G433" s="22" t="n">
        <v>45389</v>
      </c>
      <c r="H433">
        <f>TEXT(F433,"yyyy-mm")</f>
        <v/>
      </c>
      <c r="I433" s="20" t="n">
        <v>3.72096</v>
      </c>
    </row>
    <row r="434">
      <c r="A434" s="22" t="n">
        <v>45411</v>
      </c>
      <c r="B434" s="22" t="n">
        <v>45417</v>
      </c>
      <c r="C434">
        <f>TEXT(A434,"yyyy-mm")</f>
        <v/>
      </c>
      <c r="D434" s="20" t="n">
        <v>3.86854</v>
      </c>
      <c r="F434" s="22" t="n">
        <v>45390</v>
      </c>
      <c r="G434" s="22" t="n">
        <v>45396</v>
      </c>
      <c r="H434">
        <f>TEXT(F434,"yyyy-mm")</f>
        <v/>
      </c>
      <c r="I434" s="20" t="n">
        <v>3.70905</v>
      </c>
    </row>
    <row r="435">
      <c r="A435" s="22" t="n">
        <v>45418</v>
      </c>
      <c r="B435" s="22" t="n">
        <v>45424</v>
      </c>
      <c r="C435">
        <f>TEXT(A435,"yyyy-mm")</f>
        <v/>
      </c>
      <c r="D435" s="20" t="n">
        <v>3.85877</v>
      </c>
      <c r="F435" s="22" t="n">
        <v>45397</v>
      </c>
      <c r="G435" s="22" t="n">
        <v>45403</v>
      </c>
      <c r="H435">
        <f>TEXT(F435,"yyyy-mm")</f>
        <v/>
      </c>
      <c r="I435" s="20" t="n">
        <v>3.73572</v>
      </c>
    </row>
    <row r="436">
      <c r="A436" s="22" t="n">
        <v>45425</v>
      </c>
      <c r="B436" s="22" t="n">
        <v>45431</v>
      </c>
      <c r="C436">
        <f>TEXT(A436,"yyyy-mm")</f>
        <v/>
      </c>
      <c r="D436" s="20" t="n">
        <v>3.87177</v>
      </c>
      <c r="F436" s="22" t="n">
        <v>45404</v>
      </c>
      <c r="G436" s="22" t="n">
        <v>45410</v>
      </c>
      <c r="H436">
        <f>TEXT(F436,"yyyy-mm")</f>
        <v/>
      </c>
      <c r="I436" s="20" t="n">
        <v>4.09259</v>
      </c>
    </row>
    <row r="437">
      <c r="A437" s="22" t="n">
        <v>45432</v>
      </c>
      <c r="B437" s="22" t="n">
        <v>45438</v>
      </c>
      <c r="C437">
        <f>TEXT(A437,"yyyy-mm")</f>
        <v/>
      </c>
      <c r="D437" s="20" t="n">
        <v>3.94795</v>
      </c>
      <c r="F437" s="22" t="n">
        <v>45411</v>
      </c>
      <c r="G437" s="22" t="n">
        <v>45417</v>
      </c>
      <c r="H437">
        <f>TEXT(F437,"yyyy-mm")</f>
        <v/>
      </c>
      <c r="I437" s="20" t="n">
        <v>3.7745</v>
      </c>
    </row>
    <row r="438">
      <c r="A438" s="22" t="n">
        <v>45439</v>
      </c>
      <c r="B438" s="22" t="n">
        <v>45445</v>
      </c>
      <c r="C438">
        <f>TEXT(A438,"yyyy-mm")</f>
        <v/>
      </c>
      <c r="D438" s="20" t="n">
        <v>3.86367</v>
      </c>
      <c r="F438" s="22" t="n">
        <v>45418</v>
      </c>
      <c r="G438" s="22" t="n">
        <v>45424</v>
      </c>
      <c r="H438">
        <f>TEXT(F438,"yyyy-mm")</f>
        <v/>
      </c>
      <c r="I438" s="20" t="n">
        <v>3.73631</v>
      </c>
    </row>
    <row r="439">
      <c r="A439" s="22" t="n">
        <v>45446</v>
      </c>
      <c r="B439" s="22" t="n">
        <v>45452</v>
      </c>
      <c r="C439">
        <f>TEXT(A439,"yyyy-mm")</f>
        <v/>
      </c>
      <c r="D439" s="20" t="n">
        <v>3.8582</v>
      </c>
      <c r="F439" s="22" t="n">
        <v>45425</v>
      </c>
      <c r="G439" s="22" t="n">
        <v>45431</v>
      </c>
      <c r="H439">
        <f>TEXT(F439,"yyyy-mm")</f>
        <v/>
      </c>
      <c r="I439" s="20" t="n">
        <v>3.73352</v>
      </c>
    </row>
    <row r="440">
      <c r="A440" s="22" t="n">
        <v>45453</v>
      </c>
      <c r="B440" s="22" t="n">
        <v>45459</v>
      </c>
      <c r="C440">
        <f>TEXT(A440,"yyyy-mm")</f>
        <v/>
      </c>
      <c r="D440" s="20" t="n">
        <v>3.85282</v>
      </c>
      <c r="F440" s="22" t="n">
        <v>45432</v>
      </c>
      <c r="G440" s="22" t="n">
        <v>45438</v>
      </c>
      <c r="H440">
        <f>TEXT(F440,"yyyy-mm")</f>
        <v/>
      </c>
      <c r="I440" s="20" t="n">
        <v>3.77807</v>
      </c>
    </row>
    <row r="441">
      <c r="A441" s="22" t="n">
        <v>45460</v>
      </c>
      <c r="B441" s="22" t="n">
        <v>45466</v>
      </c>
      <c r="C441">
        <f>TEXT(A441,"yyyy-mm")</f>
        <v/>
      </c>
      <c r="D441" s="20" t="n">
        <v>3.86802</v>
      </c>
      <c r="F441" s="22" t="n">
        <v>45439</v>
      </c>
      <c r="G441" s="22" t="n">
        <v>45445</v>
      </c>
      <c r="H441">
        <f>TEXT(F441,"yyyy-mm")</f>
        <v/>
      </c>
      <c r="I441" s="20" t="n">
        <v>3.7229</v>
      </c>
    </row>
    <row r="442">
      <c r="A442" s="22" t="n">
        <v>45467</v>
      </c>
      <c r="B442" s="22" t="n">
        <v>45473</v>
      </c>
      <c r="C442">
        <f>TEXT(A442,"yyyy-mm")</f>
        <v/>
      </c>
      <c r="D442" s="20" t="n">
        <v>3.87232</v>
      </c>
      <c r="F442" s="22" t="n">
        <v>45446</v>
      </c>
      <c r="G442" s="22" t="n">
        <v>45452</v>
      </c>
      <c r="H442">
        <f>TEXT(F442,"yyyy-mm")</f>
        <v/>
      </c>
      <c r="I442" s="20" t="n">
        <v>3.71045</v>
      </c>
    </row>
    <row r="443">
      <c r="A443" s="22" t="n">
        <v>45474</v>
      </c>
      <c r="B443" s="22" t="n">
        <v>45480</v>
      </c>
      <c r="C443">
        <f>TEXT(A443,"yyyy-mm")</f>
        <v/>
      </c>
      <c r="D443" s="20" t="n">
        <v>3.89583</v>
      </c>
      <c r="F443" s="22" t="n">
        <v>45453</v>
      </c>
      <c r="G443" s="22" t="n">
        <v>45459</v>
      </c>
      <c r="H443">
        <f>TEXT(F443,"yyyy-mm")</f>
        <v/>
      </c>
      <c r="I443" s="20" t="n">
        <v>3.71948</v>
      </c>
    </row>
    <row r="444">
      <c r="A444" s="22" t="n">
        <v>45481</v>
      </c>
      <c r="B444" s="22" t="n">
        <v>45487</v>
      </c>
      <c r="C444">
        <f>TEXT(A444,"yyyy-mm")</f>
        <v/>
      </c>
      <c r="D444" s="20" t="n">
        <v>3.893</v>
      </c>
      <c r="F444" s="22" t="n">
        <v>45460</v>
      </c>
      <c r="G444" s="22" t="n">
        <v>45466</v>
      </c>
      <c r="H444">
        <f>TEXT(F444,"yyyy-mm")</f>
        <v/>
      </c>
      <c r="I444" s="20" t="n">
        <v>3.71628</v>
      </c>
    </row>
    <row r="445">
      <c r="A445" s="22" t="n">
        <v>45488</v>
      </c>
      <c r="B445" s="22" t="n">
        <v>45494</v>
      </c>
      <c r="C445">
        <f>TEXT(A445,"yyyy-mm")</f>
        <v/>
      </c>
      <c r="D445" s="20" t="n">
        <v>3.8733</v>
      </c>
      <c r="F445" s="22" t="n">
        <v>45467</v>
      </c>
      <c r="G445" s="22" t="n">
        <v>45473</v>
      </c>
      <c r="H445">
        <f>TEXT(F445,"yyyy-mm")</f>
        <v/>
      </c>
      <c r="I445" s="20" t="n">
        <v>3.72046</v>
      </c>
    </row>
    <row r="446">
      <c r="A446" s="22" t="n">
        <v>45495</v>
      </c>
      <c r="B446" s="22" t="n">
        <v>45501</v>
      </c>
      <c r="C446">
        <f>TEXT(A446,"yyyy-mm")</f>
        <v/>
      </c>
      <c r="D446" s="20" t="n">
        <v>3.8756</v>
      </c>
      <c r="F446" s="22" t="n">
        <v>45474</v>
      </c>
      <c r="G446" s="22" t="n">
        <v>45480</v>
      </c>
      <c r="H446">
        <f>TEXT(F446,"yyyy-mm")</f>
        <v/>
      </c>
      <c r="I446" s="20" t="n">
        <v>3.71279</v>
      </c>
    </row>
    <row r="447">
      <c r="A447" s="22" t="n">
        <v>45502</v>
      </c>
      <c r="B447" s="22" t="n">
        <v>45508</v>
      </c>
      <c r="C447">
        <f>TEXT(A447,"yyyy-mm")</f>
        <v/>
      </c>
      <c r="D447" s="20" t="n">
        <v>3.89045</v>
      </c>
      <c r="F447" s="22" t="n">
        <v>45481</v>
      </c>
      <c r="G447" s="22" t="n">
        <v>45487</v>
      </c>
      <c r="H447">
        <f>TEXT(F447,"yyyy-mm")</f>
        <v/>
      </c>
      <c r="I447" s="20" t="n">
        <v>3.86717</v>
      </c>
    </row>
    <row r="448">
      <c r="A448" s="22" t="n">
        <v>45509</v>
      </c>
      <c r="B448" s="22" t="n">
        <v>45515</v>
      </c>
      <c r="C448">
        <f>TEXT(A448,"yyyy-mm")</f>
        <v/>
      </c>
      <c r="D448" s="20" t="n">
        <v>3.87443</v>
      </c>
      <c r="F448" s="22" t="n">
        <v>45488</v>
      </c>
      <c r="G448" s="22" t="n">
        <v>45494</v>
      </c>
      <c r="H448">
        <f>TEXT(F448,"yyyy-mm")</f>
        <v/>
      </c>
      <c r="I448" s="20" t="n">
        <v>3.92299</v>
      </c>
    </row>
    <row r="449">
      <c r="A449" s="22" t="n">
        <v>45516</v>
      </c>
      <c r="B449" s="22" t="n">
        <v>45522</v>
      </c>
      <c r="C449">
        <f>TEXT(A449,"yyyy-mm")</f>
        <v/>
      </c>
      <c r="D449" s="20" t="n">
        <v>3.88522</v>
      </c>
      <c r="F449" s="22" t="n">
        <v>45495</v>
      </c>
      <c r="G449" s="22" t="n">
        <v>45501</v>
      </c>
      <c r="H449">
        <f>TEXT(F449,"yyyy-mm")</f>
        <v/>
      </c>
      <c r="I449" s="20" t="n">
        <v>3.89363</v>
      </c>
    </row>
    <row r="450">
      <c r="A450" s="22" t="n">
        <v>45523</v>
      </c>
      <c r="B450" s="22" t="n">
        <v>45529</v>
      </c>
      <c r="C450">
        <f>TEXT(A450,"yyyy-mm")</f>
        <v/>
      </c>
      <c r="D450" s="20" t="n">
        <v>3.89364</v>
      </c>
      <c r="F450" s="22" t="n">
        <v>45502</v>
      </c>
      <c r="G450" s="22" t="n">
        <v>45508</v>
      </c>
      <c r="H450">
        <f>TEXT(F450,"yyyy-mm")</f>
        <v/>
      </c>
      <c r="I450" s="20" t="n">
        <v>3.92822</v>
      </c>
    </row>
    <row r="451">
      <c r="A451" s="22" t="n">
        <v>45530</v>
      </c>
      <c r="B451" s="22" t="n">
        <v>45536</v>
      </c>
      <c r="C451">
        <f>TEXT(A451,"yyyy-mm")</f>
        <v/>
      </c>
      <c r="D451" s="20" t="n">
        <v>3.87726</v>
      </c>
      <c r="F451" s="22" t="n">
        <v>45509</v>
      </c>
      <c r="G451" s="22" t="n">
        <v>45515</v>
      </c>
      <c r="H451">
        <f>TEXT(F451,"yyyy-mm")</f>
        <v/>
      </c>
      <c r="I451" s="20" t="n">
        <v>3.90743</v>
      </c>
    </row>
    <row r="452">
      <c r="A452" s="22" t="n">
        <v>45537</v>
      </c>
      <c r="B452" s="22" t="n">
        <v>45543</v>
      </c>
      <c r="C452">
        <f>TEXT(A452,"yyyy-mm")</f>
        <v/>
      </c>
      <c r="D452" s="20" t="n">
        <v>3.88776</v>
      </c>
      <c r="F452" s="22" t="n">
        <v>45516</v>
      </c>
      <c r="G452" s="22" t="n">
        <v>45522</v>
      </c>
      <c r="H452">
        <f>TEXT(F452,"yyyy-mm")</f>
        <v/>
      </c>
      <c r="I452" s="20" t="n">
        <v>3.89879</v>
      </c>
    </row>
    <row r="453">
      <c r="A453" s="22" t="n">
        <v>45544</v>
      </c>
      <c r="B453" s="22" t="n">
        <v>45550</v>
      </c>
      <c r="C453">
        <f>TEXT(A453,"yyyy-mm")</f>
        <v/>
      </c>
      <c r="D453" s="20" t="n">
        <v>3.859</v>
      </c>
      <c r="F453" s="22" t="n">
        <v>45523</v>
      </c>
      <c r="G453" s="22" t="n">
        <v>45529</v>
      </c>
      <c r="H453">
        <f>TEXT(F453,"yyyy-mm")</f>
        <v/>
      </c>
      <c r="I453" s="20" t="n">
        <v>3.88831</v>
      </c>
    </row>
    <row r="454">
      <c r="A454" s="22" t="n">
        <v>45551</v>
      </c>
      <c r="B454" s="22" t="n">
        <v>45557</v>
      </c>
      <c r="C454">
        <f>TEXT(A454,"yyyy-mm")</f>
        <v/>
      </c>
      <c r="D454" s="20" t="n">
        <v>3.87951</v>
      </c>
      <c r="F454" s="22" t="n">
        <v>45530</v>
      </c>
      <c r="G454" s="22" t="n">
        <v>45536</v>
      </c>
      <c r="H454">
        <f>TEXT(F454,"yyyy-mm")</f>
        <v/>
      </c>
      <c r="I454" s="20" t="n">
        <v>3.90018</v>
      </c>
    </row>
    <row r="455">
      <c r="A455" s="22" t="n">
        <v>45558</v>
      </c>
      <c r="B455" s="22" t="n">
        <v>45564</v>
      </c>
      <c r="C455">
        <f>TEXT(A455,"yyyy-mm")</f>
        <v/>
      </c>
      <c r="D455" s="20" t="n">
        <v>3.89238</v>
      </c>
      <c r="F455" s="22" t="n">
        <v>45537</v>
      </c>
      <c r="G455" s="22" t="n">
        <v>45543</v>
      </c>
      <c r="H455">
        <f>TEXT(F455,"yyyy-mm")</f>
        <v/>
      </c>
      <c r="I455" s="20" t="n">
        <v>3.89819</v>
      </c>
    </row>
    <row r="456">
      <c r="A456" s="22" t="n">
        <v>45565</v>
      </c>
      <c r="B456" s="22" t="n">
        <v>45571</v>
      </c>
      <c r="C456">
        <f>TEXT(A456,"yyyy-mm")</f>
        <v/>
      </c>
      <c r="D456" s="20" t="n">
        <v>3.85039</v>
      </c>
      <c r="F456" s="22" t="n">
        <v>45544</v>
      </c>
      <c r="G456" s="22" t="n">
        <v>45550</v>
      </c>
      <c r="H456">
        <f>TEXT(F456,"yyyy-mm")</f>
        <v/>
      </c>
      <c r="I456" s="20" t="n">
        <v>3.86907</v>
      </c>
    </row>
    <row r="457">
      <c r="A457" s="22" t="n">
        <v>45572</v>
      </c>
      <c r="B457" s="22" t="n">
        <v>45578</v>
      </c>
      <c r="C457">
        <f>TEXT(A457,"yyyy-mm")</f>
        <v/>
      </c>
      <c r="D457" s="20" t="n">
        <v>3.87165</v>
      </c>
      <c r="F457" s="22" t="n">
        <v>45551</v>
      </c>
      <c r="G457" s="22" t="n">
        <v>45557</v>
      </c>
      <c r="H457">
        <f>TEXT(F457,"yyyy-mm")</f>
        <v/>
      </c>
      <c r="I457" s="20" t="n">
        <v>3.8718</v>
      </c>
    </row>
    <row r="458">
      <c r="A458" s="22" t="n">
        <v>45579</v>
      </c>
      <c r="B458" s="22" t="n">
        <v>45585</v>
      </c>
      <c r="C458">
        <f>TEXT(A458,"yyyy-mm")</f>
        <v/>
      </c>
      <c r="D458" s="20" t="n">
        <v>3.86173</v>
      </c>
      <c r="F458" s="22" t="n">
        <v>45558</v>
      </c>
      <c r="G458" s="22" t="n">
        <v>45564</v>
      </c>
      <c r="H458">
        <f>TEXT(F458,"yyyy-mm")</f>
        <v/>
      </c>
      <c r="I458" s="20" t="n">
        <v>3.89896</v>
      </c>
    </row>
    <row r="459">
      <c r="A459" s="22" t="n">
        <v>45586</v>
      </c>
      <c r="B459" s="22" t="n">
        <v>45592</v>
      </c>
      <c r="C459">
        <f>TEXT(A459,"yyyy-mm")</f>
        <v/>
      </c>
      <c r="D459" s="20" t="n">
        <v>3.85966</v>
      </c>
      <c r="F459" s="22" t="n">
        <v>45565</v>
      </c>
      <c r="G459" s="22" t="n">
        <v>45571</v>
      </c>
      <c r="H459">
        <f>TEXT(F459,"yyyy-mm")</f>
        <v/>
      </c>
      <c r="I459" s="20" t="n">
        <v>3.87848</v>
      </c>
    </row>
    <row r="460">
      <c r="A460" s="22" t="n">
        <v>45593</v>
      </c>
      <c r="B460" s="22" t="n">
        <v>45599</v>
      </c>
      <c r="C460">
        <f>TEXT(A460,"yyyy-mm")</f>
        <v/>
      </c>
      <c r="D460" s="20" t="n">
        <v>3.85958</v>
      </c>
      <c r="F460" s="22" t="n">
        <v>45572</v>
      </c>
      <c r="G460" s="22" t="n">
        <v>45578</v>
      </c>
      <c r="H460">
        <f>TEXT(F460,"yyyy-mm")</f>
        <v/>
      </c>
      <c r="I460" s="20" t="n">
        <v>3.87076</v>
      </c>
    </row>
    <row r="461">
      <c r="A461" s="22" t="n">
        <v>45600</v>
      </c>
      <c r="B461" s="22" t="n">
        <v>45606</v>
      </c>
      <c r="C461">
        <f>TEXT(A461,"yyyy-mm")</f>
        <v/>
      </c>
      <c r="D461" s="20" t="n">
        <v>3.88659</v>
      </c>
      <c r="F461" s="22" t="n">
        <v>45579</v>
      </c>
      <c r="G461" s="22" t="n">
        <v>45585</v>
      </c>
      <c r="H461">
        <f>TEXT(F461,"yyyy-mm")</f>
        <v/>
      </c>
      <c r="I461" s="20" t="n">
        <v>3.87308</v>
      </c>
    </row>
    <row r="462">
      <c r="A462" s="22" t="n">
        <v>45607</v>
      </c>
      <c r="B462" s="22" t="n">
        <v>45613</v>
      </c>
      <c r="C462">
        <f>TEXT(A462,"yyyy-mm")</f>
        <v/>
      </c>
      <c r="D462" s="20" t="n">
        <v>3.86776</v>
      </c>
      <c r="F462" s="22" t="n">
        <v>45586</v>
      </c>
      <c r="G462" s="22" t="n">
        <v>45592</v>
      </c>
      <c r="H462">
        <f>TEXT(F462,"yyyy-mm")</f>
        <v/>
      </c>
      <c r="I462" s="20" t="n">
        <v>3.88</v>
      </c>
    </row>
    <row r="463">
      <c r="A463" s="22" t="n">
        <v>45614</v>
      </c>
      <c r="B463" s="22" t="n">
        <v>45620</v>
      </c>
      <c r="C463">
        <f>TEXT(A463,"yyyy-mm")</f>
        <v/>
      </c>
      <c r="D463" s="20" t="n">
        <v>3.85794</v>
      </c>
      <c r="F463" s="22" t="n">
        <v>45593</v>
      </c>
      <c r="G463" s="22" t="n">
        <v>45599</v>
      </c>
      <c r="H463">
        <f>TEXT(F463,"yyyy-mm")</f>
        <v/>
      </c>
      <c r="I463" s="20" t="n">
        <v>3.87918</v>
      </c>
    </row>
    <row r="464">
      <c r="A464" s="22" t="n">
        <v>45621</v>
      </c>
      <c r="B464" s="22" t="n">
        <v>45627</v>
      </c>
      <c r="C464">
        <f>TEXT(A464,"yyyy-mm")</f>
        <v/>
      </c>
      <c r="D464" s="20" t="n">
        <v>3.88896</v>
      </c>
      <c r="F464" s="22" t="n">
        <v>45600</v>
      </c>
      <c r="G464" s="22" t="n">
        <v>45606</v>
      </c>
      <c r="H464">
        <f>TEXT(F464,"yyyy-mm")</f>
        <v/>
      </c>
      <c r="I464" s="20" t="n">
        <v>3.8799</v>
      </c>
    </row>
    <row r="465">
      <c r="A465" s="22" t="n">
        <v>45628</v>
      </c>
      <c r="B465" s="22" t="n">
        <v>45634</v>
      </c>
      <c r="C465">
        <f>TEXT(A465,"yyyy-mm")</f>
        <v/>
      </c>
      <c r="D465" s="20" t="n">
        <v>3.85554</v>
      </c>
      <c r="F465" s="22" t="n">
        <v>45607</v>
      </c>
      <c r="G465" s="22" t="n">
        <v>45613</v>
      </c>
      <c r="H465">
        <f>TEXT(F465,"yyyy-mm")</f>
        <v/>
      </c>
      <c r="I465" s="20" t="n">
        <v>3.8917</v>
      </c>
    </row>
    <row r="466">
      <c r="A466" s="22" t="n">
        <v>45635</v>
      </c>
      <c r="B466" s="22" t="n">
        <v>45641</v>
      </c>
      <c r="C466">
        <f>TEXT(A466,"yyyy-mm")</f>
        <v/>
      </c>
      <c r="D466" s="20" t="n">
        <v>3.89949</v>
      </c>
      <c r="F466" s="22" t="n">
        <v>45614</v>
      </c>
      <c r="G466" s="22" t="n">
        <v>45620</v>
      </c>
      <c r="H466">
        <f>TEXT(F466,"yyyy-mm")</f>
        <v/>
      </c>
      <c r="I466" s="20" t="n">
        <v>3.88927</v>
      </c>
    </row>
    <row r="467">
      <c r="A467" s="22" t="n">
        <v>45642</v>
      </c>
      <c r="B467" s="22" t="n">
        <v>45648</v>
      </c>
      <c r="C467">
        <f>TEXT(A467,"yyyy-mm")</f>
        <v/>
      </c>
      <c r="D467" s="20" t="n">
        <v>3.97053</v>
      </c>
      <c r="F467" s="22" t="n">
        <v>45621</v>
      </c>
      <c r="G467" s="22" t="n">
        <v>45627</v>
      </c>
      <c r="H467">
        <f>TEXT(F467,"yyyy-mm")</f>
        <v/>
      </c>
      <c r="I467" s="20" t="n">
        <v>3.87442</v>
      </c>
    </row>
    <row r="468">
      <c r="A468" s="22" t="n">
        <v>45649</v>
      </c>
      <c r="B468" s="22" t="n">
        <v>45655</v>
      </c>
      <c r="C468">
        <f>TEXT(A468,"yyyy-mm")</f>
        <v/>
      </c>
      <c r="D468" s="20" t="n">
        <v>3.89961</v>
      </c>
      <c r="F468" s="22" t="n">
        <v>45628</v>
      </c>
      <c r="G468" s="22" t="n">
        <v>45634</v>
      </c>
      <c r="H468">
        <f>TEXT(F468,"yyyy-mm")</f>
        <v/>
      </c>
      <c r="I468" s="20" t="n">
        <v>3.88137</v>
      </c>
    </row>
    <row r="469">
      <c r="A469" s="22" t="n">
        <v>45656</v>
      </c>
      <c r="B469" s="22" t="n">
        <v>45662</v>
      </c>
      <c r="C469">
        <f>TEXT(A469,"yyyy-mm")</f>
        <v/>
      </c>
      <c r="D469" s="20" t="n">
        <v>3.89142</v>
      </c>
      <c r="F469" s="22" t="n">
        <v>45635</v>
      </c>
      <c r="G469" s="22" t="n">
        <v>45641</v>
      </c>
      <c r="H469">
        <f>TEXT(F469,"yyyy-mm")</f>
        <v/>
      </c>
      <c r="I469" s="20" t="n">
        <v>3.89072</v>
      </c>
    </row>
    <row r="470">
      <c r="A470" s="22" t="n">
        <v>45663</v>
      </c>
      <c r="B470" s="22" t="n">
        <v>45669</v>
      </c>
      <c r="C470">
        <f>TEXT(A470,"yyyy-mm")</f>
        <v/>
      </c>
      <c r="D470" s="20" t="n">
        <v>3.95689</v>
      </c>
      <c r="F470" s="22" t="n">
        <v>45642</v>
      </c>
      <c r="G470" s="22" t="n">
        <v>45648</v>
      </c>
      <c r="H470">
        <f>TEXT(F470,"yyyy-mm")</f>
        <v/>
      </c>
      <c r="I470" s="20" t="n">
        <v>3.89739</v>
      </c>
    </row>
    <row r="471">
      <c r="A471" s="22" t="n">
        <v>45670</v>
      </c>
      <c r="B471" s="22" t="n">
        <v>45676</v>
      </c>
      <c r="C471">
        <f>TEXT(A471,"yyyy-mm")</f>
        <v/>
      </c>
      <c r="D471" s="20" t="n">
        <v>3.94314</v>
      </c>
      <c r="F471" s="22" t="n">
        <v>45649</v>
      </c>
      <c r="G471" s="22" t="n">
        <v>45655</v>
      </c>
      <c r="H471">
        <f>TEXT(F471,"yyyy-mm")</f>
        <v/>
      </c>
      <c r="I471" s="20" t="n">
        <v>3.89382</v>
      </c>
    </row>
    <row r="472">
      <c r="A472" s="22" t="n">
        <v>45677</v>
      </c>
      <c r="B472" s="22" t="n">
        <v>45683</v>
      </c>
      <c r="C472">
        <f>TEXT(A472,"yyyy-mm")</f>
        <v/>
      </c>
      <c r="D472" s="20" t="n">
        <v>3.91483</v>
      </c>
      <c r="F472" s="22" t="n">
        <v>45656</v>
      </c>
      <c r="G472" s="22" t="n">
        <v>45662</v>
      </c>
      <c r="H472">
        <f>TEXT(F472,"yyyy-mm")</f>
        <v/>
      </c>
      <c r="I472" s="20" t="n">
        <v>3.9802</v>
      </c>
    </row>
    <row r="473">
      <c r="A473" s="22" t="n">
        <v>45684</v>
      </c>
      <c r="B473" s="22" t="n">
        <v>45690</v>
      </c>
      <c r="C473">
        <f>TEXT(A473,"yyyy-mm")</f>
        <v/>
      </c>
      <c r="D473" s="20" t="n">
        <v>3.97393</v>
      </c>
      <c r="F473" s="22" t="n">
        <v>45663</v>
      </c>
      <c r="G473" s="22" t="n">
        <v>45669</v>
      </c>
      <c r="H473">
        <f>TEXT(F473,"yyyy-mm")</f>
        <v/>
      </c>
      <c r="I473" s="20" t="n">
        <v>3.92005</v>
      </c>
    </row>
    <row r="474">
      <c r="A474" s="22" t="n">
        <v>45691</v>
      </c>
      <c r="B474" s="22" t="n">
        <v>45697</v>
      </c>
      <c r="C474">
        <f>TEXT(A474,"yyyy-mm")</f>
        <v/>
      </c>
      <c r="D474" s="20" t="n">
        <v>4.09675</v>
      </c>
      <c r="F474" s="22" t="n">
        <v>45670</v>
      </c>
      <c r="G474" s="22" t="n">
        <v>45676</v>
      </c>
      <c r="H474">
        <f>TEXT(F474,"yyyy-mm")</f>
        <v/>
      </c>
      <c r="I474" s="20" t="n">
        <v>3.90973</v>
      </c>
    </row>
    <row r="475">
      <c r="A475" s="22" t="n">
        <v>45698</v>
      </c>
      <c r="B475" s="22" t="n">
        <v>45704</v>
      </c>
      <c r="C475">
        <f>TEXT(A475,"yyyy-mm")</f>
        <v/>
      </c>
      <c r="D475" s="20" t="n">
        <v>4.06957</v>
      </c>
      <c r="F475" s="22" t="n">
        <v>45677</v>
      </c>
      <c r="G475" s="22" t="n">
        <v>45683</v>
      </c>
      <c r="H475">
        <f>TEXT(F475,"yyyy-mm")</f>
        <v/>
      </c>
      <c r="I475" s="20" t="n">
        <v>4.04451</v>
      </c>
    </row>
    <row r="476">
      <c r="A476" s="22" t="n">
        <v>45705</v>
      </c>
      <c r="B476" s="22" t="n">
        <v>45711</v>
      </c>
      <c r="C476">
        <f>TEXT(A476,"yyyy-mm")</f>
        <v/>
      </c>
      <c r="D476" s="20" t="n">
        <v>4.06682</v>
      </c>
      <c r="F476" s="22" t="n">
        <v>45684</v>
      </c>
      <c r="G476" s="22" t="n">
        <v>45690</v>
      </c>
      <c r="H476">
        <f>TEXT(F476,"yyyy-mm")</f>
        <v/>
      </c>
      <c r="I476" s="20" t="n">
        <v>3.92461</v>
      </c>
    </row>
    <row r="477">
      <c r="A477" s="22" t="n">
        <v>45712</v>
      </c>
      <c r="B477" s="22" t="n">
        <v>45718</v>
      </c>
      <c r="C477">
        <f>TEXT(A477,"yyyy-mm")</f>
        <v/>
      </c>
      <c r="D477" s="20" t="n">
        <v>4.12087</v>
      </c>
      <c r="F477" s="22" t="n">
        <v>45691</v>
      </c>
      <c r="G477" s="22" t="n">
        <v>45697</v>
      </c>
      <c r="H477">
        <f>TEXT(F477,"yyyy-mm")</f>
        <v/>
      </c>
      <c r="I477" s="20" t="n">
        <v>3.89063</v>
      </c>
    </row>
    <row r="478">
      <c r="A478" s="22" t="n">
        <v>45719</v>
      </c>
      <c r="B478" s="22" t="n">
        <v>45725</v>
      </c>
      <c r="C478">
        <f>TEXT(A478,"yyyy-mm")</f>
        <v/>
      </c>
      <c r="D478" s="20" t="n">
        <v>4.06062</v>
      </c>
      <c r="F478" s="22" t="n">
        <v>45698</v>
      </c>
      <c r="G478" s="22" t="n">
        <v>45704</v>
      </c>
      <c r="H478">
        <f>TEXT(F478,"yyyy-mm")</f>
        <v/>
      </c>
      <c r="I478" s="20" t="n">
        <v>4.05264</v>
      </c>
    </row>
    <row r="479">
      <c r="A479" s="22" t="n">
        <v>45726</v>
      </c>
      <c r="B479" s="22" t="n">
        <v>45732</v>
      </c>
      <c r="C479">
        <f>TEXT(A479,"yyyy-mm")</f>
        <v/>
      </c>
      <c r="D479" s="20" t="n">
        <v>4.08269</v>
      </c>
      <c r="F479" s="22" t="n">
        <v>45705</v>
      </c>
      <c r="G479" s="22" t="n">
        <v>45711</v>
      </c>
      <c r="H479">
        <f>TEXT(F479,"yyyy-mm")</f>
        <v/>
      </c>
      <c r="I479" s="20" t="n">
        <v>3.88377</v>
      </c>
    </row>
    <row r="480">
      <c r="A480" s="22" t="n">
        <v>45733</v>
      </c>
      <c r="B480" s="22" t="n">
        <v>45739</v>
      </c>
      <c r="C480">
        <f>TEXT(A480,"yyyy-mm")</f>
        <v/>
      </c>
      <c r="D480" s="20" t="n">
        <v>4.05653</v>
      </c>
      <c r="F480" s="22" t="n">
        <v>45712</v>
      </c>
      <c r="G480" s="22" t="n">
        <v>45718</v>
      </c>
      <c r="H480">
        <f>TEXT(F480,"yyyy-mm")</f>
        <v/>
      </c>
      <c r="I480" s="20" t="n">
        <v>3.90058</v>
      </c>
    </row>
    <row r="481">
      <c r="A481" s="22" t="n">
        <v>45740</v>
      </c>
      <c r="B481" s="22" t="n">
        <v>45746</v>
      </c>
      <c r="C481">
        <f>TEXT(A481,"yyyy-mm")</f>
        <v/>
      </c>
      <c r="D481" s="20" t="n">
        <v>4.07452</v>
      </c>
      <c r="F481" s="22" t="n">
        <v>45719</v>
      </c>
      <c r="G481" s="22" t="n">
        <v>45725</v>
      </c>
      <c r="H481">
        <f>TEXT(F481,"yyyy-mm")</f>
        <v/>
      </c>
      <c r="I481" s="20" t="n">
        <v>3.87738</v>
      </c>
    </row>
    <row r="482">
      <c r="A482" s="22" t="n">
        <v>45747</v>
      </c>
      <c r="B482" s="22" t="n">
        <v>45753</v>
      </c>
      <c r="C482">
        <f>TEXT(A482,"yyyy-mm")</f>
        <v/>
      </c>
      <c r="D482" s="20" t="n">
        <v>3.9626</v>
      </c>
      <c r="F482" s="22" t="n">
        <v>45726</v>
      </c>
      <c r="G482" s="22" t="n">
        <v>45732</v>
      </c>
      <c r="H482">
        <f>TEXT(F482,"yyyy-mm")</f>
        <v/>
      </c>
      <c r="I482" s="20" t="n">
        <v>3.90494</v>
      </c>
    </row>
    <row r="483">
      <c r="A483" s="22" t="n">
        <v>45754</v>
      </c>
      <c r="B483" s="22" t="n">
        <v>45760</v>
      </c>
      <c r="C483">
        <f>TEXT(A483,"yyyy-mm")</f>
        <v/>
      </c>
      <c r="D483" s="20" t="n">
        <v>3.92173</v>
      </c>
      <c r="F483" s="22" t="n">
        <v>45733</v>
      </c>
      <c r="G483" s="22" t="n">
        <v>45739</v>
      </c>
      <c r="H483">
        <f>TEXT(F483,"yyyy-mm")</f>
        <v/>
      </c>
      <c r="I483" s="20" t="n">
        <v>3.9044</v>
      </c>
    </row>
    <row r="484">
      <c r="A484" s="22" t="n">
        <v>45761</v>
      </c>
      <c r="B484" s="22" t="n">
        <v>45767</v>
      </c>
      <c r="C484">
        <f>TEXT(A484,"yyyy-mm")</f>
        <v/>
      </c>
      <c r="D484" s="20" t="n">
        <v>3.83426</v>
      </c>
      <c r="F484" s="22" t="n">
        <v>45740</v>
      </c>
      <c r="G484" s="22" t="n">
        <v>45746</v>
      </c>
      <c r="H484">
        <f>TEXT(F484,"yyyy-mm")</f>
        <v/>
      </c>
      <c r="I484" s="20" t="n">
        <v>3.9158</v>
      </c>
    </row>
    <row r="485">
      <c r="A485" s="22" t="n">
        <v>45768</v>
      </c>
      <c r="B485" s="22" t="n">
        <v>45774</v>
      </c>
      <c r="C485">
        <f>TEXT(A485,"yyyy-mm")</f>
        <v/>
      </c>
      <c r="D485" s="20" t="n">
        <v>3.79804</v>
      </c>
      <c r="F485" s="22" t="n">
        <v>45747</v>
      </c>
      <c r="G485" s="22" t="n">
        <v>45753</v>
      </c>
      <c r="H485">
        <f>TEXT(F485,"yyyy-mm")</f>
        <v/>
      </c>
      <c r="I485" s="20" t="n">
        <v>3.87445</v>
      </c>
    </row>
    <row r="486">
      <c r="A486" s="22" t="n">
        <v>45775</v>
      </c>
      <c r="B486" s="22" t="n">
        <v>45781</v>
      </c>
      <c r="C486">
        <f>TEXT(A486,"yyyy-mm")</f>
        <v/>
      </c>
      <c r="D486" s="20" t="n">
        <v>3.80271</v>
      </c>
      <c r="F486" s="22" t="n">
        <v>45754</v>
      </c>
      <c r="G486" s="22" t="n">
        <v>45760</v>
      </c>
      <c r="H486">
        <f>TEXT(F486,"yyyy-mm")</f>
        <v/>
      </c>
      <c r="I486" s="20" t="n">
        <v>3.86347</v>
      </c>
    </row>
    <row r="487">
      <c r="A487" s="22" t="n">
        <v>45782</v>
      </c>
      <c r="B487" s="22" t="n">
        <v>45788</v>
      </c>
      <c r="C487">
        <f>TEXT(A487,"yyyy-mm")</f>
        <v/>
      </c>
      <c r="D487" s="20" t="n">
        <v>3.66783</v>
      </c>
      <c r="F487" s="22" t="n">
        <v>45761</v>
      </c>
      <c r="G487" s="22" t="n">
        <v>45767</v>
      </c>
      <c r="H487">
        <f>TEXT(F487,"yyyy-mm")</f>
        <v/>
      </c>
      <c r="I487" s="20" t="n">
        <v>3.86329</v>
      </c>
    </row>
    <row r="488">
      <c r="A488" s="22" t="n">
        <v>45789</v>
      </c>
      <c r="B488" s="22" t="n">
        <v>45795</v>
      </c>
      <c r="C488">
        <f>TEXT(A488,"yyyy-mm")</f>
        <v/>
      </c>
      <c r="D488" s="20" t="n">
        <v>3.6257</v>
      </c>
      <c r="F488" s="22" t="n">
        <v>45768</v>
      </c>
      <c r="G488" s="22" t="n">
        <v>45774</v>
      </c>
      <c r="H488">
        <f>TEXT(F488,"yyyy-mm")</f>
        <v/>
      </c>
      <c r="I488" s="20" t="n">
        <v>3.8732</v>
      </c>
    </row>
    <row r="489">
      <c r="A489" s="22" t="n">
        <v>45796</v>
      </c>
      <c r="B489" s="22" t="n">
        <v>45802</v>
      </c>
      <c r="C489">
        <f>TEXT(A489,"yyyy-mm")</f>
        <v/>
      </c>
      <c r="D489" s="20" t="n">
        <v>3.63197</v>
      </c>
      <c r="F489" s="22" t="n">
        <v>45775</v>
      </c>
      <c r="G489" s="22" t="n">
        <v>45781</v>
      </c>
      <c r="H489">
        <f>TEXT(F489,"yyyy-mm")</f>
        <v/>
      </c>
      <c r="I489" s="20" t="n">
        <v>3.86538</v>
      </c>
    </row>
    <row r="490">
      <c r="A490" s="22" t="n">
        <v>45803</v>
      </c>
      <c r="B490" s="22" t="n">
        <v>45809</v>
      </c>
      <c r="C490">
        <f>TEXT(A490,"yyyy-mm")</f>
        <v/>
      </c>
      <c r="D490" s="20" t="n">
        <v>3.64924</v>
      </c>
      <c r="F490" s="22" t="n">
        <v>45782</v>
      </c>
      <c r="G490" s="22" t="n">
        <v>45788</v>
      </c>
      <c r="H490">
        <f>TEXT(F490,"yyyy-mm")</f>
        <v/>
      </c>
      <c r="I490" s="20" t="n">
        <v>3.8741</v>
      </c>
    </row>
    <row r="491">
      <c r="A491" s="22" t="n">
        <v>45810</v>
      </c>
      <c r="B491" s="22" t="n">
        <v>45816</v>
      </c>
      <c r="C491">
        <f>TEXT(A491,"yyyy-mm")</f>
        <v/>
      </c>
      <c r="D491" s="20" t="n">
        <v>3.619</v>
      </c>
      <c r="F491" s="22" t="n">
        <v>45789</v>
      </c>
      <c r="G491" s="22" t="n">
        <v>45795</v>
      </c>
      <c r="H491">
        <f>TEXT(F491,"yyyy-mm")</f>
        <v/>
      </c>
      <c r="I491" s="20" t="n">
        <v>3.85153</v>
      </c>
    </row>
    <row r="492">
      <c r="A492" s="22" t="n">
        <v>45817</v>
      </c>
      <c r="B492" s="22" t="n">
        <v>45823</v>
      </c>
      <c r="C492">
        <f>TEXT(A492,"yyyy-mm")</f>
        <v/>
      </c>
      <c r="D492" s="20" t="n">
        <v>3.659</v>
      </c>
      <c r="F492" s="22" t="n">
        <v>45796</v>
      </c>
      <c r="G492" s="22" t="n">
        <v>45802</v>
      </c>
      <c r="H492">
        <f>TEXT(F492,"yyyy-mm")</f>
        <v/>
      </c>
      <c r="I492" s="20" t="n">
        <v>3.85844</v>
      </c>
    </row>
    <row r="493">
      <c r="A493" s="22" t="n">
        <v>45824</v>
      </c>
      <c r="B493" s="22" t="n">
        <v>45830</v>
      </c>
      <c r="C493">
        <f>TEXT(A493,"yyyy-mm")</f>
        <v/>
      </c>
      <c r="D493" s="20" t="n">
        <v>3.666193056054007</v>
      </c>
      <c r="F493" s="22" t="n">
        <v>45803</v>
      </c>
      <c r="G493" s="22" t="n">
        <v>45809</v>
      </c>
      <c r="H493">
        <f>TEXT(F493,"yyyy-mm")</f>
        <v/>
      </c>
      <c r="I493" s="20" t="n">
        <v>3.92846</v>
      </c>
    </row>
    <row r="494">
      <c r="A494" s="22" t="n">
        <v>45831</v>
      </c>
      <c r="B494" s="22" t="n">
        <v>45837</v>
      </c>
      <c r="C494">
        <f>TEXT(A494,"yyyy-mm")</f>
        <v/>
      </c>
      <c r="D494" s="20" t="n">
        <v>3.62997</v>
      </c>
      <c r="F494" s="22" t="n">
        <v>45810</v>
      </c>
      <c r="G494" s="22" t="n">
        <v>45816</v>
      </c>
      <c r="H494">
        <f>TEXT(F494,"yyyy-mm")</f>
        <v/>
      </c>
      <c r="I494" s="20" t="n">
        <v>3.76893</v>
      </c>
    </row>
    <row r="495">
      <c r="A495" s="22" t="n">
        <v>45838</v>
      </c>
      <c r="B495" s="22" t="n">
        <v>45844</v>
      </c>
      <c r="C495">
        <f>TEXT(A495,"yyyy-mm")</f>
        <v/>
      </c>
      <c r="D495" s="20" t="n">
        <v>3.63976</v>
      </c>
      <c r="F495" s="22" t="n">
        <v>45817</v>
      </c>
      <c r="G495" s="22" t="n">
        <v>45823</v>
      </c>
      <c r="H495">
        <f>TEXT(F495,"yyyy-mm")</f>
        <v/>
      </c>
      <c r="I495" s="20" t="n">
        <v>3.69685</v>
      </c>
    </row>
    <row r="496">
      <c r="A496" s="22" t="n">
        <v>45845</v>
      </c>
      <c r="B496" s="22" t="n">
        <v>45851</v>
      </c>
      <c r="C496">
        <f>TEXT(A496,"yyyy-mm")</f>
        <v/>
      </c>
      <c r="D496" s="20" t="n">
        <v>3.67427</v>
      </c>
      <c r="F496" s="22" t="n">
        <v>45824</v>
      </c>
      <c r="G496" s="22" t="n">
        <v>45830</v>
      </c>
      <c r="H496">
        <f>TEXT(F496,"yyyy-mm")</f>
        <v/>
      </c>
      <c r="I496" s="20" t="n">
        <v>3.69861</v>
      </c>
    </row>
    <row r="497">
      <c r="A497" s="22" t="n">
        <v>45852</v>
      </c>
      <c r="B497" s="22" t="n">
        <v>45858</v>
      </c>
      <c r="C497">
        <f>TEXT(A497,"yyyy-mm")</f>
        <v/>
      </c>
      <c r="D497" s="20" t="n">
        <v>3.61954</v>
      </c>
      <c r="F497" s="22" t="n">
        <v>45831</v>
      </c>
      <c r="G497" s="22" t="n">
        <v>45837</v>
      </c>
      <c r="H497">
        <f>TEXT(F497,"yyyy-mm")</f>
        <v/>
      </c>
      <c r="I497" s="20" t="n">
        <v>3.73508</v>
      </c>
    </row>
    <row r="498">
      <c r="A498" s="22" t="n">
        <v>45859</v>
      </c>
      <c r="B498" s="22" t="n">
        <v>45865</v>
      </c>
      <c r="C498">
        <f>TEXT(A498,"yyyy-mm")</f>
        <v/>
      </c>
      <c r="D498" s="20" t="n">
        <v>3.65495</v>
      </c>
      <c r="F498" s="22" t="n">
        <v>45838</v>
      </c>
      <c r="G498" s="22" t="n">
        <v>45844</v>
      </c>
      <c r="H498">
        <f>TEXT(F498,"yyyy-mm")</f>
        <v/>
      </c>
      <c r="I498" s="20" t="n">
        <v>3.6968</v>
      </c>
    </row>
    <row r="499">
      <c r="A499" s="22" t="n">
        <v>45866</v>
      </c>
      <c r="B499" s="22" t="n">
        <v>45872</v>
      </c>
      <c r="C499">
        <f>TEXT(A499,"yyyy-mm")</f>
        <v/>
      </c>
      <c r="D499" s="20" t="n">
        <v>3.64459</v>
      </c>
      <c r="F499" s="22" t="n">
        <v>45845</v>
      </c>
      <c r="G499" s="22" t="n">
        <v>45851</v>
      </c>
      <c r="H499">
        <f>TEXT(F499,"yyyy-mm")</f>
        <v/>
      </c>
      <c r="I499" s="20" t="n">
        <v>3.66878</v>
      </c>
    </row>
    <row r="500">
      <c r="A500" s="22" t="n">
        <v>45873</v>
      </c>
      <c r="B500" s="22" t="n">
        <v>45879</v>
      </c>
      <c r="C500">
        <f>TEXT(A500,"yyyy-mm")</f>
        <v/>
      </c>
      <c r="D500" s="20" t="n">
        <v>3.661136661106627</v>
      </c>
      <c r="F500" s="22" t="n">
        <v>45852</v>
      </c>
      <c r="G500" s="22" t="n">
        <v>45858</v>
      </c>
      <c r="H500">
        <f>TEXT(F500,"yyyy-mm")</f>
        <v/>
      </c>
      <c r="I500" s="20" t="n">
        <v>3.68455</v>
      </c>
    </row>
    <row r="501">
      <c r="A501" s="22" t="n">
        <v>45880</v>
      </c>
      <c r="B501" s="22" t="n">
        <v>45886</v>
      </c>
      <c r="C501">
        <f>TEXT(A501,"yyyy-mm")</f>
        <v/>
      </c>
      <c r="D501" s="20" t="n">
        <v>3.68792</v>
      </c>
      <c r="F501" s="22" t="n">
        <v>45859</v>
      </c>
      <c r="G501" s="22" t="n">
        <v>45865</v>
      </c>
      <c r="H501">
        <f>TEXT(F501,"yyyy-mm")</f>
        <v/>
      </c>
      <c r="I501" s="20" t="n">
        <v>3.66885</v>
      </c>
    </row>
    <row r="502">
      <c r="A502" s="22" t="n">
        <v>45887</v>
      </c>
      <c r="B502" s="22" t="n">
        <v>45893</v>
      </c>
      <c r="C502">
        <f>TEXT(A502,"yyyy-mm")</f>
        <v/>
      </c>
      <c r="D502" s="20" t="n">
        <v>3.7586</v>
      </c>
      <c r="F502" s="22" t="n">
        <v>45866</v>
      </c>
      <c r="G502" s="22" t="n">
        <v>45872</v>
      </c>
      <c r="H502">
        <f>TEXT(F502,"yyyy-mm")</f>
        <v/>
      </c>
      <c r="I502" s="20" t="n">
        <v>3.69239</v>
      </c>
    </row>
    <row r="503">
      <c r="A503" s="22" t="n">
        <v>45894</v>
      </c>
      <c r="B503" s="22" t="n">
        <v>45900</v>
      </c>
      <c r="C503">
        <f>TEXT(A503,"yyyy-mm")</f>
        <v/>
      </c>
      <c r="D503" s="20" t="n">
        <v>3.73895</v>
      </c>
      <c r="F503" s="22" t="n">
        <v>45873</v>
      </c>
      <c r="G503" s="22" t="n">
        <v>45879</v>
      </c>
      <c r="H503">
        <f>TEXT(F503,"yyyy-mm")</f>
        <v/>
      </c>
      <c r="I503" s="20" t="n">
        <v>3.61453</v>
      </c>
    </row>
    <row r="504">
      <c r="A504" s="22" t="n">
        <v>45901</v>
      </c>
      <c r="B504" s="22" t="n">
        <v>45907</v>
      </c>
      <c r="C504">
        <f>TEXT(A504,"yyyy-mm")</f>
        <v/>
      </c>
      <c r="D504" s="20" t="n">
        <v>3.7421</v>
      </c>
      <c r="F504" s="22" t="n">
        <v>45880</v>
      </c>
      <c r="G504" s="22" t="n">
        <v>45886</v>
      </c>
      <c r="H504">
        <f>TEXT(F504,"yyyy-mm")</f>
        <v/>
      </c>
      <c r="I504" s="20" t="n">
        <v>3.58081</v>
      </c>
    </row>
    <row r="505">
      <c r="A505" s="22" t="n">
        <v>45908</v>
      </c>
      <c r="B505" s="22" t="n">
        <v>45914</v>
      </c>
      <c r="C505">
        <f>TEXT(A505,"yyyy-mm")</f>
        <v/>
      </c>
      <c r="D505" s="20" t="n">
        <v>3.62577</v>
      </c>
      <c r="F505" s="22" t="n">
        <v>45887</v>
      </c>
      <c r="G505" s="22" t="n">
        <v>45893</v>
      </c>
      <c r="H505">
        <f>TEXT(F505,"yyyy-mm")</f>
        <v/>
      </c>
      <c r="I505" s="20" t="n">
        <v>3.54089</v>
      </c>
    </row>
    <row r="506">
      <c r="A506" s="22" t="n">
        <v>45915</v>
      </c>
      <c r="B506" s="22" t="n">
        <v>45921</v>
      </c>
      <c r="C506">
        <f>TEXT(A506,"yyyy-mm")</f>
        <v/>
      </c>
      <c r="D506" s="20" t="n">
        <v>3.70921</v>
      </c>
      <c r="F506" s="22" t="n">
        <v>45894</v>
      </c>
      <c r="G506" s="22" t="n">
        <v>45900</v>
      </c>
      <c r="H506">
        <f>TEXT(F506,"yyyy-mm")</f>
        <v/>
      </c>
      <c r="I506" s="20" t="n">
        <v>3.60121</v>
      </c>
    </row>
    <row r="507">
      <c r="A507" s="22" t="n">
        <v>45922</v>
      </c>
      <c r="B507" s="22" t="n">
        <v>45928</v>
      </c>
      <c r="C507">
        <f>TEXT(A507,"yyyy-mm")</f>
        <v/>
      </c>
      <c r="D507" s="20" t="n">
        <v>3.7383</v>
      </c>
      <c r="F507" s="22" t="n">
        <v>45901</v>
      </c>
      <c r="G507" s="22" t="n">
        <v>45907</v>
      </c>
      <c r="H507">
        <f>TEXT(F507,"yyyy-mm")</f>
        <v/>
      </c>
      <c r="I507" s="20" t="n">
        <v>3.59847</v>
      </c>
    </row>
    <row r="508">
      <c r="A508" s="22" t="n">
        <v>45929</v>
      </c>
      <c r="B508" s="22" t="n">
        <v>45935</v>
      </c>
      <c r="C508">
        <f>TEXT(A508,"yyyy-mm")</f>
        <v/>
      </c>
      <c r="D508" s="20" t="n">
        <v>3.6748</v>
      </c>
      <c r="F508" s="22" t="n">
        <v>45908</v>
      </c>
      <c r="G508" s="22" t="n">
        <v>45914</v>
      </c>
      <c r="H508">
        <f>TEXT(F508,"yyyy-mm")</f>
        <v/>
      </c>
      <c r="I508" s="20" t="n">
        <v>3.45553</v>
      </c>
    </row>
    <row r="509">
      <c r="A509" s="22" t="n">
        <v>45936</v>
      </c>
      <c r="B509" s="22" t="n">
        <v>45942</v>
      </c>
      <c r="C509">
        <f>TEXT(A509,"yyyy-mm")</f>
        <v/>
      </c>
      <c r="D509" s="20" t="n">
        <v>3.70402</v>
      </c>
      <c r="F509" s="22" t="n">
        <v>45915</v>
      </c>
      <c r="G509" s="22" t="n">
        <v>45921</v>
      </c>
      <c r="H509">
        <f>TEXT(F509,"yyyy-mm")</f>
        <v/>
      </c>
      <c r="I509" s="20" t="n">
        <v>3.44365</v>
      </c>
    </row>
    <row r="510">
      <c r="A510" s="22" t="n">
        <v>45943</v>
      </c>
      <c r="B510" s="22" t="n">
        <v>45949</v>
      </c>
      <c r="C510">
        <f>TEXT(A510,"yyyy-mm")</f>
        <v/>
      </c>
      <c r="D510" s="20" t="n">
        <v>3.77444</v>
      </c>
      <c r="F510" s="22" t="n">
        <v>45922</v>
      </c>
      <c r="G510" s="22" t="n">
        <v>45928</v>
      </c>
      <c r="H510">
        <f>TEXT(F510,"yyyy-mm")</f>
        <v/>
      </c>
      <c r="I510" s="20" t="n">
        <v>3.50847</v>
      </c>
    </row>
    <row r="511">
      <c r="A511" s="22" t="n">
        <v>45950</v>
      </c>
      <c r="B511" s="22" t="n">
        <v>45956</v>
      </c>
      <c r="C511">
        <f>TEXT(A511,"yyyy-mm")</f>
        <v/>
      </c>
      <c r="D511" s="20" t="n">
        <v>3.70655</v>
      </c>
      <c r="F511" s="22" t="n">
        <v>45929</v>
      </c>
      <c r="G511" s="22" t="n">
        <v>45935</v>
      </c>
      <c r="H511">
        <f>TEXT(F511,"yyyy-mm")</f>
        <v/>
      </c>
      <c r="I511" s="20" t="n">
        <v>3.75527</v>
      </c>
    </row>
    <row r="512">
      <c r="A512" s="22" t="n">
        <v>45957</v>
      </c>
      <c r="B512" s="22" t="n">
        <v>45963</v>
      </c>
      <c r="C512">
        <f>TEXT(A512,"yyyy-mm")</f>
        <v/>
      </c>
      <c r="D512" s="20" t="n">
        <v>3.81691</v>
      </c>
      <c r="F512" s="22" t="n">
        <v>45936</v>
      </c>
      <c r="G512" s="22" t="n">
        <v>45942</v>
      </c>
      <c r="H512">
        <f>TEXT(F512,"yyyy-mm")</f>
        <v/>
      </c>
      <c r="I512" s="20" t="n">
        <v>3.7994</v>
      </c>
    </row>
    <row r="513">
      <c r="A513" s="22" t="n">
        <v>45964</v>
      </c>
      <c r="B513" s="22" t="n">
        <v>45970</v>
      </c>
      <c r="C513">
        <f>TEXT(A513,"yyyy-mm")</f>
        <v/>
      </c>
      <c r="D513" s="20" t="n">
        <v>3.87693</v>
      </c>
      <c r="F513" s="22" t="n">
        <v>45943</v>
      </c>
      <c r="G513" s="22" t="n">
        <v>45949</v>
      </c>
      <c r="H513">
        <f>TEXT(F513,"yyyy-mm")</f>
        <v/>
      </c>
      <c r="I513" s="20" t="n">
        <v>3.6444</v>
      </c>
    </row>
    <row r="514">
      <c r="A514" s="22" t="n">
        <v>45971</v>
      </c>
      <c r="B514" s="22" t="n">
        <v>45977</v>
      </c>
      <c r="C514">
        <f>TEXT(A514,"yyyy-mm")</f>
        <v/>
      </c>
      <c r="D514" s="20" t="n">
        <v>3.8238</v>
      </c>
      <c r="F514" s="22" t="n">
        <v>45950</v>
      </c>
      <c r="G514" s="22" t="n">
        <v>45956</v>
      </c>
      <c r="H514">
        <f>TEXT(F514,"yyyy-mm")</f>
        <v/>
      </c>
      <c r="I514" s="20" t="n">
        <v>3.55414</v>
      </c>
    </row>
    <row r="515">
      <c r="A515" s="22" t="n">
        <v>45978</v>
      </c>
      <c r="B515" s="22" t="n">
        <v>45984</v>
      </c>
      <c r="C515">
        <f>TEXT(A515,"yyyy-mm")</f>
        <v/>
      </c>
      <c r="D515" s="20" t="n">
        <v>3.78425</v>
      </c>
      <c r="F515" s="22" t="n">
        <v>45957</v>
      </c>
      <c r="G515" s="22" t="n">
        <v>45963</v>
      </c>
      <c r="H515">
        <f>TEXT(F515,"yyyy-mm")</f>
        <v/>
      </c>
      <c r="I515" s="20" t="n">
        <v>3.52692</v>
      </c>
    </row>
    <row r="516">
      <c r="A516" s="22" t="n">
        <v>45985</v>
      </c>
      <c r="B516" s="22" t="n">
        <v>45991</v>
      </c>
      <c r="C516">
        <f>TEXT(A516,"yyyy-mm")</f>
        <v/>
      </c>
      <c r="D516" s="20" t="n">
        <v>3.8015</v>
      </c>
      <c r="F516" s="22" t="n">
        <v>45964</v>
      </c>
      <c r="G516" s="22" t="n">
        <v>45970</v>
      </c>
      <c r="H516">
        <f>TEXT(F516,"yyyy-mm")</f>
        <v/>
      </c>
      <c r="I516" s="20" t="n">
        <v>3.56485</v>
      </c>
    </row>
    <row r="517">
      <c r="A517" s="22" t="n">
        <v>45992</v>
      </c>
      <c r="B517" s="22" t="n">
        <v>45998</v>
      </c>
      <c r="C517">
        <f>TEXT(A517,"yyyy-mm")</f>
        <v/>
      </c>
      <c r="D517" s="20" t="n">
        <v>3.79404</v>
      </c>
      <c r="F517" s="22" t="n">
        <v>45971</v>
      </c>
      <c r="G517" s="22" t="n">
        <v>45977</v>
      </c>
      <c r="H517">
        <f>TEXT(F517,"yyyy-mm")</f>
        <v/>
      </c>
      <c r="I517" s="20" t="n">
        <v>3.54079</v>
      </c>
    </row>
    <row r="518">
      <c r="A518" s="22" t="n">
        <v>45999</v>
      </c>
      <c r="B518" s="22" t="n">
        <v>46005</v>
      </c>
      <c r="C518">
        <f>TEXT(A518,"yyyy-mm")</f>
        <v/>
      </c>
      <c r="D518" s="20" t="n">
        <v>3.75761</v>
      </c>
      <c r="F518" s="22" t="n">
        <v>45978</v>
      </c>
      <c r="G518" s="22" t="n">
        <v>45984</v>
      </c>
      <c r="H518">
        <f>TEXT(F518,"yyyy-mm")</f>
        <v/>
      </c>
      <c r="I518" s="20" t="n">
        <v>3.5813</v>
      </c>
    </row>
    <row r="519">
      <c r="A519" s="22" t="n">
        <v>46006</v>
      </c>
      <c r="B519" s="22" t="n">
        <v>46012</v>
      </c>
      <c r="C519">
        <f>TEXT(A519,"yyyy-mm")</f>
        <v/>
      </c>
      <c r="D519" s="20" t="n">
        <v>3.65375</v>
      </c>
      <c r="F519" s="22" t="n">
        <v>45985</v>
      </c>
      <c r="G519" s="22" t="n">
        <v>45991</v>
      </c>
      <c r="H519">
        <f>TEXT(F519,"yyyy-mm")</f>
        <v/>
      </c>
      <c r="I519" s="20" t="n">
        <v>3.57029</v>
      </c>
    </row>
    <row r="520">
      <c r="A520" s="22" t="n">
        <v>46013</v>
      </c>
      <c r="B520" s="22" t="n">
        <v>46019</v>
      </c>
      <c r="C520">
        <f>TEXT(A520,"yyyy-mm")</f>
        <v/>
      </c>
      <c r="D520" s="20" t="n">
        <v>3.59084</v>
      </c>
      <c r="F520" s="22" t="n">
        <v>45992</v>
      </c>
      <c r="G520" s="22" t="n">
        <v>45998</v>
      </c>
      <c r="H520">
        <f>TEXT(F520,"yyyy-mm")</f>
        <v/>
      </c>
      <c r="I520" s="20" t="n">
        <v>3.58286</v>
      </c>
    </row>
    <row r="521">
      <c r="A521" s="22" t="n">
        <v>46020</v>
      </c>
      <c r="B521" s="22" t="n">
        <v>46026</v>
      </c>
      <c r="C521">
        <f>TEXT(A521,"yyyy-mm")</f>
        <v/>
      </c>
      <c r="D521" s="20" t="n">
        <v>3.65782</v>
      </c>
      <c r="F521" s="22" t="n">
        <v>45999</v>
      </c>
      <c r="G521" s="22" t="n">
        <v>46005</v>
      </c>
      <c r="H521">
        <f>TEXT(F521,"yyyy-mm")</f>
        <v/>
      </c>
      <c r="I521" s="20" t="n">
        <v>3.58452</v>
      </c>
    </row>
    <row r="522">
      <c r="A522" s="22" t="n">
        <v>46027</v>
      </c>
      <c r="B522" s="22" t="n">
        <v>46033</v>
      </c>
      <c r="C522">
        <f>TEXT(A522,"yyyy-mm")</f>
        <v/>
      </c>
      <c r="D522" s="20" t="n">
        <v>3.6604</v>
      </c>
      <c r="F522" s="22" t="n">
        <v>46006</v>
      </c>
      <c r="G522" s="22" t="n">
        <v>46012</v>
      </c>
      <c r="H522">
        <f>TEXT(F522,"yyyy-mm")</f>
        <v/>
      </c>
      <c r="I522" s="20" t="n">
        <v>3.55713</v>
      </c>
    </row>
    <row r="523">
      <c r="A523" s="22" t="n">
        <v>46034</v>
      </c>
      <c r="B523" s="22" t="n">
        <v>46040</v>
      </c>
      <c r="C523">
        <f>TEXT(A523,"yyyy-mm")</f>
        <v/>
      </c>
      <c r="D523" s="20" t="n">
        <v>3.56389</v>
      </c>
      <c r="F523" s="22" t="n">
        <v>46013</v>
      </c>
      <c r="G523" s="22" t="n">
        <v>46019</v>
      </c>
      <c r="H523">
        <f>TEXT(F523,"yyyy-mm")</f>
        <v/>
      </c>
      <c r="I523" s="20" t="n">
        <v>3.55211</v>
      </c>
    </row>
    <row r="524">
      <c r="A524" s="22" t="n">
        <v>46041</v>
      </c>
      <c r="B524" s="22" t="n">
        <v>46047</v>
      </c>
      <c r="C524">
        <f>TEXT(A524,"yyyy-mm")</f>
        <v/>
      </c>
      <c r="D524" s="20" t="n">
        <v>3.6758</v>
      </c>
      <c r="F524" s="22" t="n">
        <v>46020</v>
      </c>
      <c r="G524" s="22" t="n">
        <v>46026</v>
      </c>
      <c r="H524">
        <f>TEXT(F524,"yyyy-mm")</f>
        <v/>
      </c>
      <c r="I524" s="20" t="n">
        <v>3.56004</v>
      </c>
    </row>
    <row r="525">
      <c r="A525" s="22" t="n">
        <v>46048</v>
      </c>
      <c r="B525" s="22" t="n">
        <v>46054</v>
      </c>
      <c r="C525">
        <f>TEXT(A525,"yyyy-mm")</f>
        <v/>
      </c>
      <c r="D525" s="20" t="n">
        <v>3.88062</v>
      </c>
      <c r="F525" s="22" t="n">
        <v>46027</v>
      </c>
      <c r="G525" s="22" t="n">
        <v>46033</v>
      </c>
      <c r="H525">
        <f>TEXT(F525,"yyyy-mm")</f>
        <v/>
      </c>
      <c r="I525" s="20" t="n">
        <v>3.57224</v>
      </c>
    </row>
    <row r="526">
      <c r="A526" s="22" t="n">
        <v>46055</v>
      </c>
      <c r="B526" s="22" t="n">
        <v>46061</v>
      </c>
      <c r="C526">
        <f>TEXT(A526,"yyyy-mm")</f>
        <v/>
      </c>
      <c r="D526" s="20" t="n">
        <v>3.83642</v>
      </c>
      <c r="F526" s="22" t="n">
        <v>46034</v>
      </c>
      <c r="G526" s="22" t="n">
        <v>46040</v>
      </c>
      <c r="H526">
        <f>TEXT(F526,"yyyy-mm")</f>
        <v/>
      </c>
      <c r="I526" s="20" t="n">
        <v>3.56885</v>
      </c>
    </row>
    <row r="527">
      <c r="A527" s="22" t="n">
        <v>46062</v>
      </c>
      <c r="B527" s="22" t="n">
        <v>46068</v>
      </c>
      <c r="C527">
        <f>TEXT(A527,"yyyy-mm")</f>
        <v/>
      </c>
      <c r="D527" s="20" t="n">
        <v>3.77621</v>
      </c>
      <c r="F527" s="22" t="n">
        <v>46041</v>
      </c>
      <c r="G527" s="22" t="n">
        <v>46047</v>
      </c>
      <c r="H527">
        <f>TEXT(F527,"yyyy-mm")</f>
        <v/>
      </c>
      <c r="I527" s="20" t="n">
        <v>3.54835</v>
      </c>
    </row>
    <row r="528">
      <c r="A528" s="22" t="n">
        <v>46069</v>
      </c>
      <c r="B528" s="22" t="n">
        <v>46075</v>
      </c>
      <c r="C528">
        <f>TEXT(A528,"yyyy-mm")</f>
        <v/>
      </c>
      <c r="D528" s="20" t="n">
        <v>3.84233</v>
      </c>
      <c r="F528" s="22" t="n">
        <v>46048</v>
      </c>
      <c r="G528" s="22" t="n">
        <v>46054</v>
      </c>
      <c r="H528">
        <f>TEXT(F528,"yyyy-mm")</f>
        <v/>
      </c>
      <c r="I528" s="20" t="n">
        <v>3.61668</v>
      </c>
    </row>
    <row r="529">
      <c r="A529" s="22" t="n">
        <v>46076</v>
      </c>
      <c r="B529" s="22" t="n">
        <v>46082</v>
      </c>
      <c r="C529">
        <f>TEXT(A529,"yyyy-mm")</f>
        <v/>
      </c>
      <c r="D529" s="20" t="n">
        <v>3.93046</v>
      </c>
      <c r="F529" s="22" t="n">
        <v>46055</v>
      </c>
      <c r="G529" s="22" t="n">
        <v>46061</v>
      </c>
      <c r="H529">
        <f>TEXT(F529,"yyyy-mm")</f>
        <v/>
      </c>
      <c r="I529" s="20" t="n">
        <v>3.53787</v>
      </c>
    </row>
    <row r="530">
      <c r="A530" s="22" t="n">
        <v>46083</v>
      </c>
      <c r="B530" s="22" t="n">
        <v>46089</v>
      </c>
      <c r="C530">
        <f>TEXT(A530,"yyyy-mm")</f>
        <v/>
      </c>
      <c r="D530" s="20" t="n">
        <v>4.66373</v>
      </c>
      <c r="F530" s="22" t="n">
        <v>46062</v>
      </c>
      <c r="G530" s="22" t="n">
        <v>46068</v>
      </c>
      <c r="H530">
        <f>TEXT(F530,"yyyy-mm")</f>
        <v/>
      </c>
      <c r="I530" s="20" t="n">
        <v>3.55435</v>
      </c>
    </row>
    <row r="531">
      <c r="A531" s="22" t="n">
        <v>46090</v>
      </c>
      <c r="B531" s="22" t="n">
        <v>46096</v>
      </c>
      <c r="C531">
        <f>TEXT(A531,"yyyy-mm")</f>
        <v/>
      </c>
      <c r="D531" s="20" t="n">
        <v>5.32362</v>
      </c>
      <c r="F531" s="22" t="n">
        <v>46069</v>
      </c>
      <c r="G531" s="22" t="n">
        <v>46075</v>
      </c>
      <c r="H531">
        <f>TEXT(F531,"yyyy-mm")</f>
        <v/>
      </c>
      <c r="I531" s="20" t="n">
        <v>3.51866</v>
      </c>
    </row>
    <row r="532">
      <c r="A532" s="22" t="n">
        <v>46097</v>
      </c>
      <c r="B532" s="22" t="n">
        <v>46103</v>
      </c>
      <c r="C532">
        <f>TEXT(A532,"yyyy-mm")</f>
        <v/>
      </c>
      <c r="D532" s="20" t="n">
        <v>5.28045</v>
      </c>
      <c r="F532" s="22" t="n">
        <v>46076</v>
      </c>
      <c r="G532" s="22" t="n">
        <v>46082</v>
      </c>
      <c r="H532">
        <f>TEXT(F532,"yyyy-mm")</f>
        <v/>
      </c>
      <c r="I532" s="20" t="n">
        <v>3.59122</v>
      </c>
    </row>
    <row r="533">
      <c r="A533" s="22" t="n">
        <v>46104</v>
      </c>
      <c r="B533" s="22" t="n">
        <v>46110</v>
      </c>
      <c r="C533">
        <f>TEXT(A533,"yyyy-mm")</f>
        <v/>
      </c>
      <c r="D533" s="20" t="n">
        <v>5.37338</v>
      </c>
      <c r="F533" s="22" t="n">
        <v>46083</v>
      </c>
      <c r="G533" s="22" t="n">
        <v>46089</v>
      </c>
      <c r="H533">
        <f>TEXT(F533,"yyyy-mm")</f>
        <v/>
      </c>
      <c r="I533" s="20" t="n">
        <v>3.74582</v>
      </c>
    </row>
    <row r="534">
      <c r="A534" s="22" t="n">
        <v>46111</v>
      </c>
      <c r="B534" s="22" t="n">
        <v>46117</v>
      </c>
      <c r="C534">
        <f>TEXT(A534,"yyyy-mm")</f>
        <v/>
      </c>
      <c r="D534" s="20" t="n">
        <v>5.48542</v>
      </c>
      <c r="F534" s="22" t="n">
        <v>46090</v>
      </c>
      <c r="G534" s="22" t="n">
        <v>46096</v>
      </c>
      <c r="H534">
        <f>TEXT(F534,"yyyy-mm")</f>
        <v/>
      </c>
      <c r="I534" s="20" t="n">
        <v>3.57071</v>
      </c>
    </row>
    <row r="535">
      <c r="A535" s="22" t="n">
        <v>46118</v>
      </c>
      <c r="B535" s="22" t="n">
        <v>46124</v>
      </c>
      <c r="C535">
        <f>TEXT(A535,"yyyy-mm")</f>
        <v/>
      </c>
      <c r="D535" s="20" t="n">
        <v>5.39047</v>
      </c>
      <c r="F535" s="22" t="n">
        <v>46097</v>
      </c>
      <c r="G535" s="22" t="n">
        <v>46103</v>
      </c>
      <c r="H535">
        <f>TEXT(F535,"yyyy-mm")</f>
        <v/>
      </c>
      <c r="I535" s="20" t="n">
        <v>4.47358</v>
      </c>
    </row>
    <row r="536">
      <c r="A536" s="22" t="n">
        <v>46125</v>
      </c>
      <c r="B536" s="22" t="n">
        <v>46131</v>
      </c>
      <c r="C536">
        <f>TEXT(A536,"yyyy-mm")</f>
        <v/>
      </c>
      <c r="D536" s="20" t="n">
        <v>5.25047</v>
      </c>
      <c r="F536" s="22" t="n">
        <v>46104</v>
      </c>
      <c r="G536" s="22" t="n">
        <v>46110</v>
      </c>
      <c r="H536">
        <f>TEXT(F536,"yyyy-mm")</f>
        <v/>
      </c>
      <c r="I536" s="20" t="n">
        <v>4.23656</v>
      </c>
    </row>
    <row r="537">
      <c r="A537" s="22" t="n">
        <v>46132</v>
      </c>
      <c r="B537" s="22" t="n">
        <v>46138</v>
      </c>
      <c r="C537">
        <f>TEXT(A537,"yyyy-mm")</f>
        <v/>
      </c>
      <c r="D537" s="20" t="n">
        <v>4.43909</v>
      </c>
      <c r="F537" s="22" t="n">
        <v>46111</v>
      </c>
      <c r="G537" s="22" t="n">
        <v>46117</v>
      </c>
      <c r="H537">
        <f>TEXT(F537,"yyyy-mm")</f>
        <v/>
      </c>
      <c r="I537" s="20" t="n">
        <v>4.12828</v>
      </c>
    </row>
    <row r="538">
      <c r="A538" s="22" t="n">
        <v>46139</v>
      </c>
      <c r="B538" s="22" t="n">
        <v>46145</v>
      </c>
      <c r="C538">
        <f>TEXT(A538,"yyyy-mm")</f>
        <v/>
      </c>
      <c r="D538" s="20" t="n">
        <v>3.98052</v>
      </c>
      <c r="F538" s="22" t="n">
        <v>46118</v>
      </c>
      <c r="G538" s="22" t="n">
        <v>46124</v>
      </c>
      <c r="H538">
        <f>TEXT(F538,"yyyy-mm")</f>
        <v/>
      </c>
      <c r="I538" s="20" t="n">
        <v>4.14308</v>
      </c>
    </row>
    <row r="539">
      <c r="A539" s="22" t="n">
        <v>46146</v>
      </c>
      <c r="B539" s="22" t="n">
        <v>46152</v>
      </c>
      <c r="C539">
        <f>TEXT(A539,"yyyy-mm")</f>
        <v/>
      </c>
      <c r="D539" s="20" t="n">
        <v>5.36823</v>
      </c>
      <c r="F539" s="22" t="n">
        <v>46125</v>
      </c>
      <c r="G539" s="22" t="n">
        <v>46131</v>
      </c>
      <c r="H539">
        <f>TEXT(F539,"yyyy-mm")</f>
        <v/>
      </c>
      <c r="I539" s="20" t="n">
        <v>4.18621</v>
      </c>
    </row>
    <row r="540">
      <c r="A540" s="22" t="n">
        <v>46153</v>
      </c>
      <c r="B540" s="22" t="n">
        <v>46159</v>
      </c>
      <c r="C540">
        <f>TEXT(A540,"yyyy-mm")</f>
        <v/>
      </c>
      <c r="D540" s="20" t="n">
        <v>5.27189</v>
      </c>
      <c r="F540" s="22" t="n">
        <v>46132</v>
      </c>
      <c r="G540" s="22" t="n">
        <v>46138</v>
      </c>
      <c r="H540">
        <f>TEXT(F540,"yyyy-mm")</f>
        <v/>
      </c>
      <c r="I540" s="20" t="n">
        <v>4.32936</v>
      </c>
    </row>
    <row r="541">
      <c r="A541" s="22" t="n">
        <v>46160</v>
      </c>
      <c r="B541" s="22" t="n">
        <v>46166</v>
      </c>
      <c r="C541">
        <f>TEXT(A541,"yyyy-mm")</f>
        <v/>
      </c>
      <c r="D541" s="20" t="n">
        <v>5.43911</v>
      </c>
      <c r="F541" s="22" t="n">
        <v>46139</v>
      </c>
      <c r="G541" s="22" t="n">
        <v>46145</v>
      </c>
      <c r="H541">
        <f>TEXT(F541,"yyyy-mm")</f>
        <v/>
      </c>
      <c r="I541" s="20" t="n">
        <v>3.95393</v>
      </c>
    </row>
    <row r="542">
      <c r="A542" s="22" t="n">
        <v>46167</v>
      </c>
      <c r="B542" s="22" t="n">
        <v>46173</v>
      </c>
      <c r="C542">
        <f>TEXT(A542,"yyyy-mm")</f>
        <v/>
      </c>
      <c r="D542" s="20" t="n">
        <v>5.17646</v>
      </c>
      <c r="F542" s="22" t="n">
        <v>46146</v>
      </c>
      <c r="G542" s="22" t="n">
        <v>46152</v>
      </c>
      <c r="H542">
        <f>TEXT(F542,"yyyy-mm")</f>
        <v/>
      </c>
      <c r="I542" s="20" t="n">
        <v>5.26086</v>
      </c>
    </row>
    <row r="543">
      <c r="A543" s="22" t="n">
        <v>46174</v>
      </c>
      <c r="B543" s="22" t="n">
        <v>46180</v>
      </c>
      <c r="C543">
        <f>TEXT(A543,"yyyy-mm")</f>
        <v/>
      </c>
      <c r="D543" s="20" t="n">
        <v>4.89413</v>
      </c>
      <c r="F543" s="22" t="n">
        <v>46153</v>
      </c>
      <c r="G543" s="22" t="n">
        <v>46159</v>
      </c>
      <c r="H543">
        <f>TEXT(F543,"yyyy-mm")</f>
        <v/>
      </c>
      <c r="I543" s="20" t="n">
        <v>5.00923</v>
      </c>
    </row>
    <row r="544">
      <c r="A544" s="22" t="n">
        <v>46181</v>
      </c>
      <c r="B544" s="22" t="n">
        <v>46187</v>
      </c>
      <c r="C544">
        <f>TEXT(A544,"yyyy-mm")</f>
        <v/>
      </c>
      <c r="D544" s="20" t="n">
        <v>5.09341</v>
      </c>
      <c r="F544" s="22" t="n">
        <v>46160</v>
      </c>
      <c r="G544" s="22" t="n">
        <v>46166</v>
      </c>
      <c r="H544">
        <f>TEXT(F544,"yyyy-mm")</f>
        <v/>
      </c>
      <c r="I544" s="20" t="n">
        <v>4.76976</v>
      </c>
    </row>
    <row r="545">
      <c r="A545" s="22" t="n">
        <v>46188</v>
      </c>
      <c r="B545" s="22" t="n">
        <v>46194</v>
      </c>
      <c r="C545">
        <f>TEXT(A545,"yyyy-mm")</f>
        <v/>
      </c>
      <c r="D545" s="20" t="n">
        <v>5.16137</v>
      </c>
      <c r="F545" s="22" t="n">
        <v>46167</v>
      </c>
      <c r="G545" s="22" t="n">
        <v>46173</v>
      </c>
      <c r="H545">
        <f>TEXT(F545,"yyyy-mm")</f>
        <v/>
      </c>
      <c r="I545" s="20" t="n">
        <v>4.71925</v>
      </c>
    </row>
    <row r="546">
      <c r="A546" s="22" t="n">
        <v>46195</v>
      </c>
      <c r="B546" s="22" t="n">
        <v>46201</v>
      </c>
      <c r="C546">
        <f>TEXT(A546,"yyyy-mm")</f>
        <v/>
      </c>
      <c r="D546" s="20" t="n">
        <v>5.15435</v>
      </c>
      <c r="F546" s="22" t="n">
        <v>46174</v>
      </c>
      <c r="G546" s="22" t="n">
        <v>46180</v>
      </c>
      <c r="H546">
        <f>TEXT(F546,"yyyy-mm")</f>
        <v/>
      </c>
      <c r="I546" s="20" t="n">
        <v>4.3308</v>
      </c>
    </row>
    <row r="547">
      <c r="A547" s="22" t="n">
        <v>46202</v>
      </c>
      <c r="B547" s="22" t="n">
        <v>46208</v>
      </c>
      <c r="C547">
        <f>TEXT(A547,"yyyy-mm")</f>
        <v/>
      </c>
      <c r="D547" s="20" t="n">
        <v>5.15231</v>
      </c>
      <c r="F547" s="22" t="n">
        <v>46181</v>
      </c>
      <c r="G547" s="22" t="n">
        <v>46187</v>
      </c>
      <c r="H547">
        <f>TEXT(F547,"yyyy-mm")</f>
        <v/>
      </c>
      <c r="I547" s="20" t="n">
        <v>4.19155</v>
      </c>
    </row>
    <row r="548">
      <c r="A548" s="22" t="n">
        <v>46209</v>
      </c>
      <c r="B548" s="22" t="n">
        <v>46215</v>
      </c>
      <c r="C548">
        <f>TEXT(A548,"yyyy-mm")</f>
        <v/>
      </c>
      <c r="D548" s="20" t="n">
        <v>3.84029</v>
      </c>
      <c r="F548" s="22" t="n">
        <v>46188</v>
      </c>
      <c r="G548" s="22" t="n">
        <v>46194</v>
      </c>
      <c r="H548">
        <f>TEXT(F548,"yyyy-mm")</f>
        <v/>
      </c>
      <c r="I548" s="20" t="n">
        <v>4.98554</v>
      </c>
    </row>
    <row r="549">
      <c r="A549" s="22" t="n">
        <v>46216</v>
      </c>
      <c r="B549" s="22" t="n">
        <v>46222</v>
      </c>
      <c r="C549">
        <f>TEXT(A549,"yyyy-mm")</f>
        <v/>
      </c>
      <c r="D549" s="20" t="n">
        <v>3.77894</v>
      </c>
      <c r="F549" s="22" t="n">
        <v>46195</v>
      </c>
      <c r="G549" s="22" t="n">
        <v>46201</v>
      </c>
      <c r="H549">
        <f>TEXT(F549,"yyyy-mm")</f>
        <v/>
      </c>
      <c r="I549" s="20" t="n">
        <v>3.73361</v>
      </c>
    </row>
    <row r="550">
      <c r="A550" s="22" t="n">
        <v>46223</v>
      </c>
      <c r="B550" s="22" t="n">
        <v>46229</v>
      </c>
      <c r="C550">
        <f>TEXT(A550,"yyyy-mm")</f>
        <v/>
      </c>
      <c r="D550" s="20" t="n">
        <v>5.20916</v>
      </c>
      <c r="F550" s="22" t="n">
        <v>46202</v>
      </c>
      <c r="G550" s="22" t="n">
        <v>46208</v>
      </c>
      <c r="H550">
        <f>TEXT(F550,"yyyy-mm")</f>
        <v/>
      </c>
      <c r="I550" s="20" t="n">
        <v>3.7513</v>
      </c>
    </row>
    <row r="551">
      <c r="A551" s="22" t="n">
        <v>46230</v>
      </c>
      <c r="B551" s="22" t="n">
        <v>46236</v>
      </c>
      <c r="C551">
        <f>TEXT(A551,"yyyy-mm")</f>
        <v/>
      </c>
      <c r="D551" s="20" t="n">
        <v>5.20229</v>
      </c>
      <c r="F551" s="22" t="n">
        <v>46209</v>
      </c>
      <c r="G551" s="22" t="n">
        <v>46215</v>
      </c>
      <c r="H551">
        <f>TEXT(F551,"yyyy-mm")</f>
        <v/>
      </c>
      <c r="I551" s="20" t="n">
        <v>3.66978</v>
      </c>
    </row>
    <row r="552">
      <c r="A552" s="22" t="n">
        <v>46237</v>
      </c>
      <c r="B552" s="22" t="n">
        <v>46243</v>
      </c>
      <c r="C552">
        <f>TEXT(A552,"yyyy-mm")</f>
        <v/>
      </c>
      <c r="D552" s="20" t="n">
        <v>3.78277</v>
      </c>
      <c r="F552" s="22" t="n">
        <v>46216</v>
      </c>
      <c r="G552" s="22" t="n">
        <v>46222</v>
      </c>
      <c r="H552">
        <f>TEXT(F552,"yyyy-mm")</f>
        <v/>
      </c>
      <c r="I552" s="20" t="n">
        <v>3.80219</v>
      </c>
    </row>
    <row r="553">
      <c r="A553" s="22" t="n">
        <v>46244</v>
      </c>
      <c r="B553" s="22" t="n">
        <v>46250</v>
      </c>
      <c r="C553">
        <f>TEXT(A553,"yyyy-mm")</f>
        <v/>
      </c>
      <c r="D553" s="20" t="n">
        <v>3.77649</v>
      </c>
      <c r="F553" s="22" t="n">
        <v>46223</v>
      </c>
      <c r="G553" s="22" t="n">
        <v>46229</v>
      </c>
      <c r="H553">
        <f>TEXT(F553,"yyyy-mm")</f>
        <v/>
      </c>
      <c r="I553" s="20" t="n">
        <v>3.72164</v>
      </c>
    </row>
    <row r="554">
      <c r="A554" s="22" t="n">
        <v>46251</v>
      </c>
      <c r="B554" s="22" t="n">
        <v>46257</v>
      </c>
      <c r="C554">
        <f>TEXT(A554,"yyyy-mm")</f>
        <v/>
      </c>
      <c r="D554" s="20" t="n">
        <v>3.79392</v>
      </c>
      <c r="F554" s="22" t="n">
        <v>46230</v>
      </c>
      <c r="G554" s="22" t="n">
        <v>46236</v>
      </c>
      <c r="H554">
        <f>TEXT(F554,"yyyy-mm")</f>
        <v/>
      </c>
      <c r="I554" s="20" t="n">
        <v>3.69039</v>
      </c>
    </row>
    <row r="555">
      <c r="A555" s="22" t="n">
        <v>46258</v>
      </c>
      <c r="B555" s="22" t="n">
        <v>46264</v>
      </c>
      <c r="C555">
        <f>TEXT(A555,"yyyy-mm")</f>
        <v/>
      </c>
      <c r="D555" s="20" t="n">
        <v>3.77952</v>
      </c>
      <c r="F555" s="22" t="n">
        <v>46237</v>
      </c>
      <c r="G555" s="22" t="n">
        <v>46243</v>
      </c>
      <c r="H555">
        <f>TEXT(F555,"yyyy-mm")</f>
        <v/>
      </c>
      <c r="I555" s="20" t="n">
        <v>3.75993</v>
      </c>
    </row>
    <row r="556">
      <c r="A556" s="22" t="n">
        <v>46265</v>
      </c>
      <c r="B556" s="22" t="n">
        <v>46271</v>
      </c>
      <c r="C556">
        <f>TEXT(A556,"yyyy-mm")</f>
        <v/>
      </c>
      <c r="D556" s="20" t="n">
        <v>3.86779</v>
      </c>
      <c r="F556" s="22" t="n">
        <v>46244</v>
      </c>
      <c r="G556" s="22" t="n">
        <v>46250</v>
      </c>
      <c r="H556">
        <f>TEXT(F556,"yyyy-mm")</f>
        <v/>
      </c>
      <c r="I556" s="20" t="n">
        <v>3.65925</v>
      </c>
    </row>
    <row r="557">
      <c r="A557" s="22" t="n">
        <v>46272</v>
      </c>
      <c r="B557" s="22" t="n">
        <v>46278</v>
      </c>
      <c r="C557">
        <f>TEXT(A557,"yyyy-mm")</f>
        <v/>
      </c>
      <c r="D557" s="20" t="n">
        <v>3.87314</v>
      </c>
      <c r="F557" s="22" t="n">
        <v>46251</v>
      </c>
      <c r="G557" s="22" t="n">
        <v>46257</v>
      </c>
      <c r="H557">
        <f>TEXT(F557,"yyyy-mm")</f>
        <v/>
      </c>
      <c r="I557" s="20" t="n">
        <v>4.05491</v>
      </c>
    </row>
    <row r="558">
      <c r="A558" s="22" t="n">
        <v>46279</v>
      </c>
      <c r="B558" s="22" t="n">
        <v>46285</v>
      </c>
      <c r="C558">
        <f>TEXT(A558,"yyyy-mm")</f>
        <v/>
      </c>
      <c r="D558" s="20" t="n">
        <v>3.88156</v>
      </c>
      <c r="F558" s="22" t="n">
        <v>46258</v>
      </c>
      <c r="G558" s="22" t="n">
        <v>46264</v>
      </c>
      <c r="H558">
        <f>TEXT(F558,"yyyy-mm")</f>
        <v/>
      </c>
      <c r="I558" s="20" t="n">
        <v>3.79507</v>
      </c>
    </row>
    <row r="559">
      <c r="F559" s="22" t="n">
        <v>46265</v>
      </c>
      <c r="G559" s="22" t="n">
        <v>46271</v>
      </c>
      <c r="H559">
        <f>TEXT(F559,"yyyy-mm")</f>
        <v/>
      </c>
      <c r="I559" s="20" t="n">
        <v>3.87763</v>
      </c>
    </row>
    <row r="560">
      <c r="F560" s="22" t="n">
        <v>46272</v>
      </c>
      <c r="G560" s="22" t="n">
        <v>46278</v>
      </c>
      <c r="H560">
        <f>TEXT(F560,"yyyy-mm")</f>
        <v/>
      </c>
      <c r="I560" s="20" t="n">
        <v>3.5446</v>
      </c>
    </row>
    <row r="561">
      <c r="F561" s="22" t="n">
        <v>46279</v>
      </c>
      <c r="G561" s="22" t="n">
        <v>46285</v>
      </c>
      <c r="H561">
        <f>TEXT(F561,"yyyy-mm")</f>
        <v/>
      </c>
      <c r="I561" s="20" t="n">
        <v>3.45615</v>
      </c>
    </row>
    <row r="563">
      <c r="A563" s="24" t="inlineStr">
        <is>
          <t>Fonte: ANP, Preços Médios Ponderados Semanais Praticados por Produtores e Importadores — download oficial. Diesel: 556 semanas (2016-01-04 a 2026-09-14). Gasolina: 559 semanas (2016-01-04 a 2026-09-14).</t>
        </is>
      </c>
    </row>
  </sheetData>
  <mergeCells count="3">
    <mergeCell ref="A1:C1"/>
    <mergeCell ref="F1:H1"/>
    <mergeCell ref="A563:I56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9"/>
  <sheetViews>
    <sheetView showGridLines="0" tabSelected="0" workbookViewId="0">
      <pane ySplit="4" topLeftCell="A5" activePane="bottomLeft" state="frozen"/>
      <selection pane="bottomLeft" activeCell="A1" sqref="A1"/>
    </sheetView>
  </sheetViews>
  <sheetFormatPr baseColWidth="8" defaultRowHeight="15"/>
  <cols>
    <col width="10" customWidth="1" min="1" max="1"/>
    <col width="15" customWidth="1" min="2" max="2"/>
    <col width="18" customWidth="1" min="3" max="3"/>
    <col width="16" customWidth="1" min="4" max="4"/>
    <col width="15" customWidth="1" min="5" max="5"/>
    <col width="18" customWidth="1" min="6" max="6"/>
    <col width="16" customWidth="1" min="7" max="7"/>
  </cols>
  <sheetData>
    <row r="1">
      <c r="A1" s="1" t="inlineStr">
        <is>
          <t>Defasagem histórica mensal — PPI (ANP) vs. Preço de Realização (ANP), Diesel e Gasolina</t>
        </is>
      </c>
    </row>
    <row r="2" ht="28" customHeight="1">
      <c r="A2" s="17" t="inlineStr">
        <is>
          <t>PPI = média simples entre polos (aproximação nacional). Ambas as séries são sem tributos. nov/2018–ago/2023 = vigência da política oficial de PPI da Petrobras; a partir de set/2023 a defasagem passa a ser lida como "vs. paridade de mercado", já que a Petrobras não usa mais o PPI como política declarada desde 16/05/2023.</t>
        </is>
      </c>
    </row>
    <row r="4">
      <c r="A4" s="18" t="inlineStr">
        <is>
          <t>Mês</t>
        </is>
      </c>
      <c r="B4" s="18" t="inlineStr">
        <is>
          <t>PPI Diesel (R$/L)</t>
        </is>
      </c>
      <c r="C4" s="18" t="inlineStr">
        <is>
          <t>Realização Diesel (R$/L)</t>
        </is>
      </c>
      <c r="D4" s="18" t="inlineStr">
        <is>
          <t>Defasagem Diesel (%)</t>
        </is>
      </c>
      <c r="E4" s="18" t="inlineStr">
        <is>
          <t>PPI Gasolina (R$/L)</t>
        </is>
      </c>
      <c r="F4" s="18" t="inlineStr">
        <is>
          <t>Realização Gasolina (R$/L)</t>
        </is>
      </c>
      <c r="G4" s="18" t="inlineStr">
        <is>
          <t>Defasagem Gasolina (%)</t>
        </is>
      </c>
    </row>
    <row r="5">
      <c r="A5" t="inlineStr">
        <is>
          <t>2018-11</t>
        </is>
      </c>
      <c r="B5" s="23">
        <f>IFERROR(AVERAGEIF('PPI ANP - Diesel (semanal)'!$C:$C,$A5,'PPI ANP - Diesel (semanal)'!$T:$T),"")</f>
        <v/>
      </c>
      <c r="C5" s="23">
        <f>IFERROR(AVERAGEIF('Preço Realização (semanal)'!$C:$C,$A5,'Preço Realização (semanal)'!$D:$D),"")</f>
        <v/>
      </c>
      <c r="D5" s="25">
        <f>IF(OR(B5="",C5=""),"",(B5-C5)/B5)</f>
        <v/>
      </c>
      <c r="E5" s="23">
        <f>IFERROR(AVERAGEIF('PPI ANP - Gasolina (semanal)'!$C:$C,$A5,'PPI ANP - Gasolina (semanal)'!$T:$T),"")</f>
        <v/>
      </c>
      <c r="F5" s="23">
        <f>IFERROR(AVERAGEIF('Preço Realização (semanal)'!$H:$H,$A5,'Preço Realização (semanal)'!$I:$I),"")</f>
        <v/>
      </c>
      <c r="G5" s="25">
        <f>IF(OR(E5="",F5=""),"",(E5-F5)/E5)</f>
        <v/>
      </c>
    </row>
    <row r="6">
      <c r="A6" t="inlineStr">
        <is>
          <t>2018-12</t>
        </is>
      </c>
      <c r="B6" s="23">
        <f>IFERROR(AVERAGEIF('PPI ANP - Diesel (semanal)'!$C:$C,$A6,'PPI ANP - Diesel (semanal)'!$T:$T),"")</f>
        <v/>
      </c>
      <c r="C6" s="23">
        <f>IFERROR(AVERAGEIF('Preço Realização (semanal)'!$C:$C,$A6,'Preço Realização (semanal)'!$D:$D),"")</f>
        <v/>
      </c>
      <c r="D6" s="25">
        <f>IF(OR(B6="",C6=""),"",(B6-C6)/B6)</f>
        <v/>
      </c>
      <c r="E6" s="23">
        <f>IFERROR(AVERAGEIF('PPI ANP - Gasolina (semanal)'!$C:$C,$A6,'PPI ANP - Gasolina (semanal)'!$T:$T),"")</f>
        <v/>
      </c>
      <c r="F6" s="23">
        <f>IFERROR(AVERAGEIF('Preço Realização (semanal)'!$H:$H,$A6,'Preço Realização (semanal)'!$I:$I),"")</f>
        <v/>
      </c>
      <c r="G6" s="25">
        <f>IF(OR(E6="",F6=""),"",(E6-F6)/E6)</f>
        <v/>
      </c>
    </row>
    <row r="7">
      <c r="A7" t="inlineStr">
        <is>
          <t>2019-01</t>
        </is>
      </c>
      <c r="B7" s="23">
        <f>IFERROR(AVERAGEIF('PPI ANP - Diesel (semanal)'!$C:$C,$A7,'PPI ANP - Diesel (semanal)'!$T:$T),"")</f>
        <v/>
      </c>
      <c r="C7" s="23">
        <f>IFERROR(AVERAGEIF('Preço Realização (semanal)'!$C:$C,$A7,'Preço Realização (semanal)'!$D:$D),"")</f>
        <v/>
      </c>
      <c r="D7" s="25">
        <f>IF(OR(B7="",C7=""),"",(B7-C7)/B7)</f>
        <v/>
      </c>
      <c r="E7" s="23">
        <f>IFERROR(AVERAGEIF('PPI ANP - Gasolina (semanal)'!$C:$C,$A7,'PPI ANP - Gasolina (semanal)'!$T:$T),"")</f>
        <v/>
      </c>
      <c r="F7" s="23">
        <f>IFERROR(AVERAGEIF('Preço Realização (semanal)'!$H:$H,$A7,'Preço Realização (semanal)'!$I:$I),"")</f>
        <v/>
      </c>
      <c r="G7" s="25">
        <f>IF(OR(E7="",F7=""),"",(E7-F7)/E7)</f>
        <v/>
      </c>
    </row>
    <row r="8">
      <c r="A8" t="inlineStr">
        <is>
          <t>2019-02</t>
        </is>
      </c>
      <c r="B8" s="23">
        <f>IFERROR(AVERAGEIF('PPI ANP - Diesel (semanal)'!$C:$C,$A8,'PPI ANP - Diesel (semanal)'!$T:$T),"")</f>
        <v/>
      </c>
      <c r="C8" s="23">
        <f>IFERROR(AVERAGEIF('Preço Realização (semanal)'!$C:$C,$A8,'Preço Realização (semanal)'!$D:$D),"")</f>
        <v/>
      </c>
      <c r="D8" s="25">
        <f>IF(OR(B8="",C8=""),"",(B8-C8)/B8)</f>
        <v/>
      </c>
      <c r="E8" s="23">
        <f>IFERROR(AVERAGEIF('PPI ANP - Gasolina (semanal)'!$C:$C,$A8,'PPI ANP - Gasolina (semanal)'!$T:$T),"")</f>
        <v/>
      </c>
      <c r="F8" s="23">
        <f>IFERROR(AVERAGEIF('Preço Realização (semanal)'!$H:$H,$A8,'Preço Realização (semanal)'!$I:$I),"")</f>
        <v/>
      </c>
      <c r="G8" s="25">
        <f>IF(OR(E8="",F8=""),"",(E8-F8)/E8)</f>
        <v/>
      </c>
    </row>
    <row r="9">
      <c r="A9" t="inlineStr">
        <is>
          <t>2019-03</t>
        </is>
      </c>
      <c r="B9" s="23">
        <f>IFERROR(AVERAGEIF('PPI ANP - Diesel (semanal)'!$C:$C,$A9,'PPI ANP - Diesel (semanal)'!$T:$T),"")</f>
        <v/>
      </c>
      <c r="C9" s="23">
        <f>IFERROR(AVERAGEIF('Preço Realização (semanal)'!$C:$C,$A9,'Preço Realização (semanal)'!$D:$D),"")</f>
        <v/>
      </c>
      <c r="D9" s="25">
        <f>IF(OR(B9="",C9=""),"",(B9-C9)/B9)</f>
        <v/>
      </c>
      <c r="E9" s="23">
        <f>IFERROR(AVERAGEIF('PPI ANP - Gasolina (semanal)'!$C:$C,$A9,'PPI ANP - Gasolina (semanal)'!$T:$T),"")</f>
        <v/>
      </c>
      <c r="F9" s="23">
        <f>IFERROR(AVERAGEIF('Preço Realização (semanal)'!$H:$H,$A9,'Preço Realização (semanal)'!$I:$I),"")</f>
        <v/>
      </c>
      <c r="G9" s="25">
        <f>IF(OR(E9="",F9=""),"",(E9-F9)/E9)</f>
        <v/>
      </c>
    </row>
    <row r="10">
      <c r="A10" t="inlineStr">
        <is>
          <t>2019-04</t>
        </is>
      </c>
      <c r="B10" s="23">
        <f>IFERROR(AVERAGEIF('PPI ANP - Diesel (semanal)'!$C:$C,$A10,'PPI ANP - Diesel (semanal)'!$T:$T),"")</f>
        <v/>
      </c>
      <c r="C10" s="23">
        <f>IFERROR(AVERAGEIF('Preço Realização (semanal)'!$C:$C,$A10,'Preço Realização (semanal)'!$D:$D),"")</f>
        <v/>
      </c>
      <c r="D10" s="25">
        <f>IF(OR(B10="",C10=""),"",(B10-C10)/B10)</f>
        <v/>
      </c>
      <c r="E10" s="23">
        <f>IFERROR(AVERAGEIF('PPI ANP - Gasolina (semanal)'!$C:$C,$A10,'PPI ANP - Gasolina (semanal)'!$T:$T),"")</f>
        <v/>
      </c>
      <c r="F10" s="23">
        <f>IFERROR(AVERAGEIF('Preço Realização (semanal)'!$H:$H,$A10,'Preço Realização (semanal)'!$I:$I),"")</f>
        <v/>
      </c>
      <c r="G10" s="25">
        <f>IF(OR(E10="",F10=""),"",(E10-F10)/E10)</f>
        <v/>
      </c>
    </row>
    <row r="11">
      <c r="A11" t="inlineStr">
        <is>
          <t>2019-05</t>
        </is>
      </c>
      <c r="B11" s="23">
        <f>IFERROR(AVERAGEIF('PPI ANP - Diesel (semanal)'!$C:$C,$A11,'PPI ANP - Diesel (semanal)'!$T:$T),"")</f>
        <v/>
      </c>
      <c r="C11" s="23">
        <f>IFERROR(AVERAGEIF('Preço Realização (semanal)'!$C:$C,$A11,'Preço Realização (semanal)'!$D:$D),"")</f>
        <v/>
      </c>
      <c r="D11" s="25">
        <f>IF(OR(B11="",C11=""),"",(B11-C11)/B11)</f>
        <v/>
      </c>
      <c r="E11" s="23">
        <f>IFERROR(AVERAGEIF('PPI ANP - Gasolina (semanal)'!$C:$C,$A11,'PPI ANP - Gasolina (semanal)'!$T:$T),"")</f>
        <v/>
      </c>
      <c r="F11" s="23">
        <f>IFERROR(AVERAGEIF('Preço Realização (semanal)'!$H:$H,$A11,'Preço Realização (semanal)'!$I:$I),"")</f>
        <v/>
      </c>
      <c r="G11" s="25">
        <f>IF(OR(E11="",F11=""),"",(E11-F11)/E11)</f>
        <v/>
      </c>
    </row>
    <row r="12">
      <c r="A12" t="inlineStr">
        <is>
          <t>2019-06</t>
        </is>
      </c>
      <c r="B12" s="23">
        <f>IFERROR(AVERAGEIF('PPI ANP - Diesel (semanal)'!$C:$C,$A12,'PPI ANP - Diesel (semanal)'!$T:$T),"")</f>
        <v/>
      </c>
      <c r="C12" s="23">
        <f>IFERROR(AVERAGEIF('Preço Realização (semanal)'!$C:$C,$A12,'Preço Realização (semanal)'!$D:$D),"")</f>
        <v/>
      </c>
      <c r="D12" s="25">
        <f>IF(OR(B12="",C12=""),"",(B12-C12)/B12)</f>
        <v/>
      </c>
      <c r="E12" s="23">
        <f>IFERROR(AVERAGEIF('PPI ANP - Gasolina (semanal)'!$C:$C,$A12,'PPI ANP - Gasolina (semanal)'!$T:$T),"")</f>
        <v/>
      </c>
      <c r="F12" s="23">
        <f>IFERROR(AVERAGEIF('Preço Realização (semanal)'!$H:$H,$A12,'Preço Realização (semanal)'!$I:$I),"")</f>
        <v/>
      </c>
      <c r="G12" s="25">
        <f>IF(OR(E12="",F12=""),"",(E12-F12)/E12)</f>
        <v/>
      </c>
    </row>
    <row r="13">
      <c r="A13" t="inlineStr">
        <is>
          <t>2019-07</t>
        </is>
      </c>
      <c r="B13" s="23">
        <f>IFERROR(AVERAGEIF('PPI ANP - Diesel (semanal)'!$C:$C,$A13,'PPI ANP - Diesel (semanal)'!$T:$T),"")</f>
        <v/>
      </c>
      <c r="C13" s="23">
        <f>IFERROR(AVERAGEIF('Preço Realização (semanal)'!$C:$C,$A13,'Preço Realização (semanal)'!$D:$D),"")</f>
        <v/>
      </c>
      <c r="D13" s="25">
        <f>IF(OR(B13="",C13=""),"",(B13-C13)/B13)</f>
        <v/>
      </c>
      <c r="E13" s="23">
        <f>IFERROR(AVERAGEIF('PPI ANP - Gasolina (semanal)'!$C:$C,$A13,'PPI ANP - Gasolina (semanal)'!$T:$T),"")</f>
        <v/>
      </c>
      <c r="F13" s="23">
        <f>IFERROR(AVERAGEIF('Preço Realização (semanal)'!$H:$H,$A13,'Preço Realização (semanal)'!$I:$I),"")</f>
        <v/>
      </c>
      <c r="G13" s="25">
        <f>IF(OR(E13="",F13=""),"",(E13-F13)/E13)</f>
        <v/>
      </c>
    </row>
    <row r="14">
      <c r="A14" t="inlineStr">
        <is>
          <t>2019-08</t>
        </is>
      </c>
      <c r="B14" s="23">
        <f>IFERROR(AVERAGEIF('PPI ANP - Diesel (semanal)'!$C:$C,$A14,'PPI ANP - Diesel (semanal)'!$T:$T),"")</f>
        <v/>
      </c>
      <c r="C14" s="23">
        <f>IFERROR(AVERAGEIF('Preço Realização (semanal)'!$C:$C,$A14,'Preço Realização (semanal)'!$D:$D),"")</f>
        <v/>
      </c>
      <c r="D14" s="25">
        <f>IF(OR(B14="",C14=""),"",(B14-C14)/B14)</f>
        <v/>
      </c>
      <c r="E14" s="23">
        <f>IFERROR(AVERAGEIF('PPI ANP - Gasolina (semanal)'!$C:$C,$A14,'PPI ANP - Gasolina (semanal)'!$T:$T),"")</f>
        <v/>
      </c>
      <c r="F14" s="23">
        <f>IFERROR(AVERAGEIF('Preço Realização (semanal)'!$H:$H,$A14,'Preço Realização (semanal)'!$I:$I),"")</f>
        <v/>
      </c>
      <c r="G14" s="25">
        <f>IF(OR(E14="",F14=""),"",(E14-F14)/E14)</f>
        <v/>
      </c>
    </row>
    <row r="15">
      <c r="A15" t="inlineStr">
        <is>
          <t>2019-09</t>
        </is>
      </c>
      <c r="B15" s="23">
        <f>IFERROR(AVERAGEIF('PPI ANP - Diesel (semanal)'!$C:$C,$A15,'PPI ANP - Diesel (semanal)'!$T:$T),"")</f>
        <v/>
      </c>
      <c r="C15" s="23">
        <f>IFERROR(AVERAGEIF('Preço Realização (semanal)'!$C:$C,$A15,'Preço Realização (semanal)'!$D:$D),"")</f>
        <v/>
      </c>
      <c r="D15" s="25">
        <f>IF(OR(B15="",C15=""),"",(B15-C15)/B15)</f>
        <v/>
      </c>
      <c r="E15" s="23">
        <f>IFERROR(AVERAGEIF('PPI ANP - Gasolina (semanal)'!$C:$C,$A15,'PPI ANP - Gasolina (semanal)'!$T:$T),"")</f>
        <v/>
      </c>
      <c r="F15" s="23">
        <f>IFERROR(AVERAGEIF('Preço Realização (semanal)'!$H:$H,$A15,'Preço Realização (semanal)'!$I:$I),"")</f>
        <v/>
      </c>
      <c r="G15" s="25">
        <f>IF(OR(E15="",F15=""),"",(E15-F15)/E15)</f>
        <v/>
      </c>
    </row>
    <row r="16">
      <c r="A16" t="inlineStr">
        <is>
          <t>2019-10</t>
        </is>
      </c>
      <c r="B16" s="23">
        <f>IFERROR(AVERAGEIF('PPI ANP - Diesel (semanal)'!$C:$C,$A16,'PPI ANP - Diesel (semanal)'!$T:$T),"")</f>
        <v/>
      </c>
      <c r="C16" s="23">
        <f>IFERROR(AVERAGEIF('Preço Realização (semanal)'!$C:$C,$A16,'Preço Realização (semanal)'!$D:$D),"")</f>
        <v/>
      </c>
      <c r="D16" s="25">
        <f>IF(OR(B16="",C16=""),"",(B16-C16)/B16)</f>
        <v/>
      </c>
      <c r="E16" s="23">
        <f>IFERROR(AVERAGEIF('PPI ANP - Gasolina (semanal)'!$C:$C,$A16,'PPI ANP - Gasolina (semanal)'!$T:$T),"")</f>
        <v/>
      </c>
      <c r="F16" s="23">
        <f>IFERROR(AVERAGEIF('Preço Realização (semanal)'!$H:$H,$A16,'Preço Realização (semanal)'!$I:$I),"")</f>
        <v/>
      </c>
      <c r="G16" s="25">
        <f>IF(OR(E16="",F16=""),"",(E16-F16)/E16)</f>
        <v/>
      </c>
    </row>
    <row r="17">
      <c r="A17" t="inlineStr">
        <is>
          <t>2019-11</t>
        </is>
      </c>
      <c r="B17" s="23">
        <f>IFERROR(AVERAGEIF('PPI ANP - Diesel (semanal)'!$C:$C,$A17,'PPI ANP - Diesel (semanal)'!$T:$T),"")</f>
        <v/>
      </c>
      <c r="C17" s="23">
        <f>IFERROR(AVERAGEIF('Preço Realização (semanal)'!$C:$C,$A17,'Preço Realização (semanal)'!$D:$D),"")</f>
        <v/>
      </c>
      <c r="D17" s="25">
        <f>IF(OR(B17="",C17=""),"",(B17-C17)/B17)</f>
        <v/>
      </c>
      <c r="E17" s="23">
        <f>IFERROR(AVERAGEIF('PPI ANP - Gasolina (semanal)'!$C:$C,$A17,'PPI ANP - Gasolina (semanal)'!$T:$T),"")</f>
        <v/>
      </c>
      <c r="F17" s="23">
        <f>IFERROR(AVERAGEIF('Preço Realização (semanal)'!$H:$H,$A17,'Preço Realização (semanal)'!$I:$I),"")</f>
        <v/>
      </c>
      <c r="G17" s="25">
        <f>IF(OR(E17="",F17=""),"",(E17-F17)/E17)</f>
        <v/>
      </c>
    </row>
    <row r="18">
      <c r="A18" t="inlineStr">
        <is>
          <t>2019-12</t>
        </is>
      </c>
      <c r="B18" s="23">
        <f>IFERROR(AVERAGEIF('PPI ANP - Diesel (semanal)'!$C:$C,$A18,'PPI ANP - Diesel (semanal)'!$T:$T),"")</f>
        <v/>
      </c>
      <c r="C18" s="23">
        <f>IFERROR(AVERAGEIF('Preço Realização (semanal)'!$C:$C,$A18,'Preço Realização (semanal)'!$D:$D),"")</f>
        <v/>
      </c>
      <c r="D18" s="25">
        <f>IF(OR(B18="",C18=""),"",(B18-C18)/B18)</f>
        <v/>
      </c>
      <c r="E18" s="23">
        <f>IFERROR(AVERAGEIF('PPI ANP - Gasolina (semanal)'!$C:$C,$A18,'PPI ANP - Gasolina (semanal)'!$T:$T),"")</f>
        <v/>
      </c>
      <c r="F18" s="23">
        <f>IFERROR(AVERAGEIF('Preço Realização (semanal)'!$H:$H,$A18,'Preço Realização (semanal)'!$I:$I),"")</f>
        <v/>
      </c>
      <c r="G18" s="25">
        <f>IF(OR(E18="",F18=""),"",(E18-F18)/E18)</f>
        <v/>
      </c>
    </row>
    <row r="19">
      <c r="A19" t="inlineStr">
        <is>
          <t>2020-01</t>
        </is>
      </c>
      <c r="B19" s="23">
        <f>IFERROR(AVERAGEIF('PPI ANP - Diesel (semanal)'!$C:$C,$A19,'PPI ANP - Diesel (semanal)'!$T:$T),"")</f>
        <v/>
      </c>
      <c r="C19" s="23">
        <f>IFERROR(AVERAGEIF('Preço Realização (semanal)'!$C:$C,$A19,'Preço Realização (semanal)'!$D:$D),"")</f>
        <v/>
      </c>
      <c r="D19" s="25">
        <f>IF(OR(B19="",C19=""),"",(B19-C19)/B19)</f>
        <v/>
      </c>
      <c r="E19" s="23">
        <f>IFERROR(AVERAGEIF('PPI ANP - Gasolina (semanal)'!$C:$C,$A19,'PPI ANP - Gasolina (semanal)'!$T:$T),"")</f>
        <v/>
      </c>
      <c r="F19" s="23">
        <f>IFERROR(AVERAGEIF('Preço Realização (semanal)'!$H:$H,$A19,'Preço Realização (semanal)'!$I:$I),"")</f>
        <v/>
      </c>
      <c r="G19" s="25">
        <f>IF(OR(E19="",F19=""),"",(E19-F19)/E19)</f>
        <v/>
      </c>
    </row>
    <row r="20">
      <c r="A20" t="inlineStr">
        <is>
          <t>2020-02</t>
        </is>
      </c>
      <c r="B20" s="23">
        <f>IFERROR(AVERAGEIF('PPI ANP - Diesel (semanal)'!$C:$C,$A20,'PPI ANP - Diesel (semanal)'!$T:$T),"")</f>
        <v/>
      </c>
      <c r="C20" s="23">
        <f>IFERROR(AVERAGEIF('Preço Realização (semanal)'!$C:$C,$A20,'Preço Realização (semanal)'!$D:$D),"")</f>
        <v/>
      </c>
      <c r="D20" s="25">
        <f>IF(OR(B20="",C20=""),"",(B20-C20)/B20)</f>
        <v/>
      </c>
      <c r="E20" s="23">
        <f>IFERROR(AVERAGEIF('PPI ANP - Gasolina (semanal)'!$C:$C,$A20,'PPI ANP - Gasolina (semanal)'!$T:$T),"")</f>
        <v/>
      </c>
      <c r="F20" s="23">
        <f>IFERROR(AVERAGEIF('Preço Realização (semanal)'!$H:$H,$A20,'Preço Realização (semanal)'!$I:$I),"")</f>
        <v/>
      </c>
      <c r="G20" s="25">
        <f>IF(OR(E20="",F20=""),"",(E20-F20)/E20)</f>
        <v/>
      </c>
    </row>
    <row r="21">
      <c r="A21" t="inlineStr">
        <is>
          <t>2020-03</t>
        </is>
      </c>
      <c r="B21" s="23">
        <f>IFERROR(AVERAGEIF('PPI ANP - Diesel (semanal)'!$C:$C,$A21,'PPI ANP - Diesel (semanal)'!$T:$T),"")</f>
        <v/>
      </c>
      <c r="C21" s="23">
        <f>IFERROR(AVERAGEIF('Preço Realização (semanal)'!$C:$C,$A21,'Preço Realização (semanal)'!$D:$D),"")</f>
        <v/>
      </c>
      <c r="D21" s="25">
        <f>IF(OR(B21="",C21=""),"",(B21-C21)/B21)</f>
        <v/>
      </c>
      <c r="E21" s="23">
        <f>IFERROR(AVERAGEIF('PPI ANP - Gasolina (semanal)'!$C:$C,$A21,'PPI ANP - Gasolina (semanal)'!$T:$T),"")</f>
        <v/>
      </c>
      <c r="F21" s="23">
        <f>IFERROR(AVERAGEIF('Preço Realização (semanal)'!$H:$H,$A21,'Preço Realização (semanal)'!$I:$I),"")</f>
        <v/>
      </c>
      <c r="G21" s="25">
        <f>IF(OR(E21="",F21=""),"",(E21-F21)/E21)</f>
        <v/>
      </c>
    </row>
    <row r="22">
      <c r="A22" t="inlineStr">
        <is>
          <t>2020-04</t>
        </is>
      </c>
      <c r="B22" s="23">
        <f>IFERROR(AVERAGEIF('PPI ANP - Diesel (semanal)'!$C:$C,$A22,'PPI ANP - Diesel (semanal)'!$T:$T),"")</f>
        <v/>
      </c>
      <c r="C22" s="23">
        <f>IFERROR(AVERAGEIF('Preço Realização (semanal)'!$C:$C,$A22,'Preço Realização (semanal)'!$D:$D),"")</f>
        <v/>
      </c>
      <c r="D22" s="25">
        <f>IF(OR(B22="",C22=""),"",(B22-C22)/B22)</f>
        <v/>
      </c>
      <c r="E22" s="23">
        <f>IFERROR(AVERAGEIF('PPI ANP - Gasolina (semanal)'!$C:$C,$A22,'PPI ANP - Gasolina (semanal)'!$T:$T),"")</f>
        <v/>
      </c>
      <c r="F22" s="23">
        <f>IFERROR(AVERAGEIF('Preço Realização (semanal)'!$H:$H,$A22,'Preço Realização (semanal)'!$I:$I),"")</f>
        <v/>
      </c>
      <c r="G22" s="25">
        <f>IF(OR(E22="",F22=""),"",(E22-F22)/E22)</f>
        <v/>
      </c>
    </row>
    <row r="23">
      <c r="A23" t="inlineStr">
        <is>
          <t>2020-05</t>
        </is>
      </c>
      <c r="B23" s="23">
        <f>IFERROR(AVERAGEIF('PPI ANP - Diesel (semanal)'!$C:$C,$A23,'PPI ANP - Diesel (semanal)'!$T:$T),"")</f>
        <v/>
      </c>
      <c r="C23" s="23">
        <f>IFERROR(AVERAGEIF('Preço Realização (semanal)'!$C:$C,$A23,'Preço Realização (semanal)'!$D:$D),"")</f>
        <v/>
      </c>
      <c r="D23" s="25">
        <f>IF(OR(B23="",C23=""),"",(B23-C23)/B23)</f>
        <v/>
      </c>
      <c r="E23" s="23">
        <f>IFERROR(AVERAGEIF('PPI ANP - Gasolina (semanal)'!$C:$C,$A23,'PPI ANP - Gasolina (semanal)'!$T:$T),"")</f>
        <v/>
      </c>
      <c r="F23" s="23">
        <f>IFERROR(AVERAGEIF('Preço Realização (semanal)'!$H:$H,$A23,'Preço Realização (semanal)'!$I:$I),"")</f>
        <v/>
      </c>
      <c r="G23" s="25">
        <f>IF(OR(E23="",F23=""),"",(E23-F23)/E23)</f>
        <v/>
      </c>
    </row>
    <row r="24">
      <c r="A24" t="inlineStr">
        <is>
          <t>2020-06</t>
        </is>
      </c>
      <c r="B24" s="23">
        <f>IFERROR(AVERAGEIF('PPI ANP - Diesel (semanal)'!$C:$C,$A24,'PPI ANP - Diesel (semanal)'!$T:$T),"")</f>
        <v/>
      </c>
      <c r="C24" s="23">
        <f>IFERROR(AVERAGEIF('Preço Realização (semanal)'!$C:$C,$A24,'Preço Realização (semanal)'!$D:$D),"")</f>
        <v/>
      </c>
      <c r="D24" s="25">
        <f>IF(OR(B24="",C24=""),"",(B24-C24)/B24)</f>
        <v/>
      </c>
      <c r="E24" s="23">
        <f>IFERROR(AVERAGEIF('PPI ANP - Gasolina (semanal)'!$C:$C,$A24,'PPI ANP - Gasolina (semanal)'!$T:$T),"")</f>
        <v/>
      </c>
      <c r="F24" s="23">
        <f>IFERROR(AVERAGEIF('Preço Realização (semanal)'!$H:$H,$A24,'Preço Realização (semanal)'!$I:$I),"")</f>
        <v/>
      </c>
      <c r="G24" s="25">
        <f>IF(OR(E24="",F24=""),"",(E24-F24)/E24)</f>
        <v/>
      </c>
    </row>
    <row r="25">
      <c r="A25" t="inlineStr">
        <is>
          <t>2020-07</t>
        </is>
      </c>
      <c r="B25" s="23">
        <f>IFERROR(AVERAGEIF('PPI ANP - Diesel (semanal)'!$C:$C,$A25,'PPI ANP - Diesel (semanal)'!$T:$T),"")</f>
        <v/>
      </c>
      <c r="C25" s="23">
        <f>IFERROR(AVERAGEIF('Preço Realização (semanal)'!$C:$C,$A25,'Preço Realização (semanal)'!$D:$D),"")</f>
        <v/>
      </c>
      <c r="D25" s="25">
        <f>IF(OR(B25="",C25=""),"",(B25-C25)/B25)</f>
        <v/>
      </c>
      <c r="E25" s="23">
        <f>IFERROR(AVERAGEIF('PPI ANP - Gasolina (semanal)'!$C:$C,$A25,'PPI ANP - Gasolina (semanal)'!$T:$T),"")</f>
        <v/>
      </c>
      <c r="F25" s="23">
        <f>IFERROR(AVERAGEIF('Preço Realização (semanal)'!$H:$H,$A25,'Preço Realização (semanal)'!$I:$I),"")</f>
        <v/>
      </c>
      <c r="G25" s="25">
        <f>IF(OR(E25="",F25=""),"",(E25-F25)/E25)</f>
        <v/>
      </c>
    </row>
    <row r="26">
      <c r="A26" t="inlineStr">
        <is>
          <t>2020-08</t>
        </is>
      </c>
      <c r="B26" s="23">
        <f>IFERROR(AVERAGEIF('PPI ANP - Diesel (semanal)'!$C:$C,$A26,'PPI ANP - Diesel (semanal)'!$T:$T),"")</f>
        <v/>
      </c>
      <c r="C26" s="23">
        <f>IFERROR(AVERAGEIF('Preço Realização (semanal)'!$C:$C,$A26,'Preço Realização (semanal)'!$D:$D),"")</f>
        <v/>
      </c>
      <c r="D26" s="25">
        <f>IF(OR(B26="",C26=""),"",(B26-C26)/B26)</f>
        <v/>
      </c>
      <c r="E26" s="23">
        <f>IFERROR(AVERAGEIF('PPI ANP - Gasolina (semanal)'!$C:$C,$A26,'PPI ANP - Gasolina (semanal)'!$T:$T),"")</f>
        <v/>
      </c>
      <c r="F26" s="23">
        <f>IFERROR(AVERAGEIF('Preço Realização (semanal)'!$H:$H,$A26,'Preço Realização (semanal)'!$I:$I),"")</f>
        <v/>
      </c>
      <c r="G26" s="25">
        <f>IF(OR(E26="",F26=""),"",(E26-F26)/E26)</f>
        <v/>
      </c>
    </row>
    <row r="27">
      <c r="A27" t="inlineStr">
        <is>
          <t>2020-09</t>
        </is>
      </c>
      <c r="B27" s="23">
        <f>IFERROR(AVERAGEIF('PPI ANP - Diesel (semanal)'!$C:$C,$A27,'PPI ANP - Diesel (semanal)'!$T:$T),"")</f>
        <v/>
      </c>
      <c r="C27" s="23">
        <f>IFERROR(AVERAGEIF('Preço Realização (semanal)'!$C:$C,$A27,'Preço Realização (semanal)'!$D:$D),"")</f>
        <v/>
      </c>
      <c r="D27" s="25">
        <f>IF(OR(B27="",C27=""),"",(B27-C27)/B27)</f>
        <v/>
      </c>
      <c r="E27" s="23">
        <f>IFERROR(AVERAGEIF('PPI ANP - Gasolina (semanal)'!$C:$C,$A27,'PPI ANP - Gasolina (semanal)'!$T:$T),"")</f>
        <v/>
      </c>
      <c r="F27" s="23">
        <f>IFERROR(AVERAGEIF('Preço Realização (semanal)'!$H:$H,$A27,'Preço Realização (semanal)'!$I:$I),"")</f>
        <v/>
      </c>
      <c r="G27" s="25">
        <f>IF(OR(E27="",F27=""),"",(E27-F27)/E27)</f>
        <v/>
      </c>
    </row>
    <row r="28">
      <c r="A28" t="inlineStr">
        <is>
          <t>2020-10</t>
        </is>
      </c>
      <c r="B28" s="23">
        <f>IFERROR(AVERAGEIF('PPI ANP - Diesel (semanal)'!$C:$C,$A28,'PPI ANP - Diesel (semanal)'!$T:$T),"")</f>
        <v/>
      </c>
      <c r="C28" s="23">
        <f>IFERROR(AVERAGEIF('Preço Realização (semanal)'!$C:$C,$A28,'Preço Realização (semanal)'!$D:$D),"")</f>
        <v/>
      </c>
      <c r="D28" s="25">
        <f>IF(OR(B28="",C28=""),"",(B28-C28)/B28)</f>
        <v/>
      </c>
      <c r="E28" s="23">
        <f>IFERROR(AVERAGEIF('PPI ANP - Gasolina (semanal)'!$C:$C,$A28,'PPI ANP - Gasolina (semanal)'!$T:$T),"")</f>
        <v/>
      </c>
      <c r="F28" s="23">
        <f>IFERROR(AVERAGEIF('Preço Realização (semanal)'!$H:$H,$A28,'Preço Realização (semanal)'!$I:$I),"")</f>
        <v/>
      </c>
      <c r="G28" s="25">
        <f>IF(OR(E28="",F28=""),"",(E28-F28)/E28)</f>
        <v/>
      </c>
    </row>
    <row r="29">
      <c r="A29" t="inlineStr">
        <is>
          <t>2020-11</t>
        </is>
      </c>
      <c r="B29" s="23">
        <f>IFERROR(AVERAGEIF('PPI ANP - Diesel (semanal)'!$C:$C,$A29,'PPI ANP - Diesel (semanal)'!$T:$T),"")</f>
        <v/>
      </c>
      <c r="C29" s="23">
        <f>IFERROR(AVERAGEIF('Preço Realização (semanal)'!$C:$C,$A29,'Preço Realização (semanal)'!$D:$D),"")</f>
        <v/>
      </c>
      <c r="D29" s="25">
        <f>IF(OR(B29="",C29=""),"",(B29-C29)/B29)</f>
        <v/>
      </c>
      <c r="E29" s="23">
        <f>IFERROR(AVERAGEIF('PPI ANP - Gasolina (semanal)'!$C:$C,$A29,'PPI ANP - Gasolina (semanal)'!$T:$T),"")</f>
        <v/>
      </c>
      <c r="F29" s="23">
        <f>IFERROR(AVERAGEIF('Preço Realização (semanal)'!$H:$H,$A29,'Preço Realização (semanal)'!$I:$I),"")</f>
        <v/>
      </c>
      <c r="G29" s="25">
        <f>IF(OR(E29="",F29=""),"",(E29-F29)/E29)</f>
        <v/>
      </c>
    </row>
    <row r="30">
      <c r="A30" t="inlineStr">
        <is>
          <t>2020-12</t>
        </is>
      </c>
      <c r="B30" s="23">
        <f>IFERROR(AVERAGEIF('PPI ANP - Diesel (semanal)'!$C:$C,$A30,'PPI ANP - Diesel (semanal)'!$T:$T),"")</f>
        <v/>
      </c>
      <c r="C30" s="23">
        <f>IFERROR(AVERAGEIF('Preço Realização (semanal)'!$C:$C,$A30,'Preço Realização (semanal)'!$D:$D),"")</f>
        <v/>
      </c>
      <c r="D30" s="25">
        <f>IF(OR(B30="",C30=""),"",(B30-C30)/B30)</f>
        <v/>
      </c>
      <c r="E30" s="23">
        <f>IFERROR(AVERAGEIF('PPI ANP - Gasolina (semanal)'!$C:$C,$A30,'PPI ANP - Gasolina (semanal)'!$T:$T),"")</f>
        <v/>
      </c>
      <c r="F30" s="23">
        <f>IFERROR(AVERAGEIF('Preço Realização (semanal)'!$H:$H,$A30,'Preço Realização (semanal)'!$I:$I),"")</f>
        <v/>
      </c>
      <c r="G30" s="25">
        <f>IF(OR(E30="",F30=""),"",(E30-F30)/E30)</f>
        <v/>
      </c>
    </row>
    <row r="31">
      <c r="A31" t="inlineStr">
        <is>
          <t>2021-01</t>
        </is>
      </c>
      <c r="B31" s="23">
        <f>IFERROR(AVERAGEIF('PPI ANP - Diesel (semanal)'!$C:$C,$A31,'PPI ANP - Diesel (semanal)'!$T:$T),"")</f>
        <v/>
      </c>
      <c r="C31" s="23">
        <f>IFERROR(AVERAGEIF('Preço Realização (semanal)'!$C:$C,$A31,'Preço Realização (semanal)'!$D:$D),"")</f>
        <v/>
      </c>
      <c r="D31" s="25">
        <f>IF(OR(B31="",C31=""),"",(B31-C31)/B31)</f>
        <v/>
      </c>
      <c r="E31" s="23">
        <f>IFERROR(AVERAGEIF('PPI ANP - Gasolina (semanal)'!$C:$C,$A31,'PPI ANP - Gasolina (semanal)'!$T:$T),"")</f>
        <v/>
      </c>
      <c r="F31" s="23">
        <f>IFERROR(AVERAGEIF('Preço Realização (semanal)'!$H:$H,$A31,'Preço Realização (semanal)'!$I:$I),"")</f>
        <v/>
      </c>
      <c r="G31" s="25">
        <f>IF(OR(E31="",F31=""),"",(E31-F31)/E31)</f>
        <v/>
      </c>
    </row>
    <row r="32">
      <c r="A32" t="inlineStr">
        <is>
          <t>2021-02</t>
        </is>
      </c>
      <c r="B32" s="23">
        <f>IFERROR(AVERAGEIF('PPI ANP - Diesel (semanal)'!$C:$C,$A32,'PPI ANP - Diesel (semanal)'!$T:$T),"")</f>
        <v/>
      </c>
      <c r="C32" s="23">
        <f>IFERROR(AVERAGEIF('Preço Realização (semanal)'!$C:$C,$A32,'Preço Realização (semanal)'!$D:$D),"")</f>
        <v/>
      </c>
      <c r="D32" s="25">
        <f>IF(OR(B32="",C32=""),"",(B32-C32)/B32)</f>
        <v/>
      </c>
      <c r="E32" s="23">
        <f>IFERROR(AVERAGEIF('PPI ANP - Gasolina (semanal)'!$C:$C,$A32,'PPI ANP - Gasolina (semanal)'!$T:$T),"")</f>
        <v/>
      </c>
      <c r="F32" s="23">
        <f>IFERROR(AVERAGEIF('Preço Realização (semanal)'!$H:$H,$A32,'Preço Realização (semanal)'!$I:$I),"")</f>
        <v/>
      </c>
      <c r="G32" s="25">
        <f>IF(OR(E32="",F32=""),"",(E32-F32)/E32)</f>
        <v/>
      </c>
    </row>
    <row r="33">
      <c r="A33" t="inlineStr">
        <is>
          <t>2021-03</t>
        </is>
      </c>
      <c r="B33" s="23">
        <f>IFERROR(AVERAGEIF('PPI ANP - Diesel (semanal)'!$C:$C,$A33,'PPI ANP - Diesel (semanal)'!$T:$T),"")</f>
        <v/>
      </c>
      <c r="C33" s="23">
        <f>IFERROR(AVERAGEIF('Preço Realização (semanal)'!$C:$C,$A33,'Preço Realização (semanal)'!$D:$D),"")</f>
        <v/>
      </c>
      <c r="D33" s="25">
        <f>IF(OR(B33="",C33=""),"",(B33-C33)/B33)</f>
        <v/>
      </c>
      <c r="E33" s="23">
        <f>IFERROR(AVERAGEIF('PPI ANP - Gasolina (semanal)'!$C:$C,$A33,'PPI ANP - Gasolina (semanal)'!$T:$T),"")</f>
        <v/>
      </c>
      <c r="F33" s="23">
        <f>IFERROR(AVERAGEIF('Preço Realização (semanal)'!$H:$H,$A33,'Preço Realização (semanal)'!$I:$I),"")</f>
        <v/>
      </c>
      <c r="G33" s="25">
        <f>IF(OR(E33="",F33=""),"",(E33-F33)/E33)</f>
        <v/>
      </c>
    </row>
    <row r="34">
      <c r="A34" t="inlineStr">
        <is>
          <t>2021-04</t>
        </is>
      </c>
      <c r="B34" s="23">
        <f>IFERROR(AVERAGEIF('PPI ANP - Diesel (semanal)'!$C:$C,$A34,'PPI ANP - Diesel (semanal)'!$T:$T),"")</f>
        <v/>
      </c>
      <c r="C34" s="23">
        <f>IFERROR(AVERAGEIF('Preço Realização (semanal)'!$C:$C,$A34,'Preço Realização (semanal)'!$D:$D),"")</f>
        <v/>
      </c>
      <c r="D34" s="25">
        <f>IF(OR(B34="",C34=""),"",(B34-C34)/B34)</f>
        <v/>
      </c>
      <c r="E34" s="23">
        <f>IFERROR(AVERAGEIF('PPI ANP - Gasolina (semanal)'!$C:$C,$A34,'PPI ANP - Gasolina (semanal)'!$T:$T),"")</f>
        <v/>
      </c>
      <c r="F34" s="23">
        <f>IFERROR(AVERAGEIF('Preço Realização (semanal)'!$H:$H,$A34,'Preço Realização (semanal)'!$I:$I),"")</f>
        <v/>
      </c>
      <c r="G34" s="25">
        <f>IF(OR(E34="",F34=""),"",(E34-F34)/E34)</f>
        <v/>
      </c>
    </row>
    <row r="35">
      <c r="A35" t="inlineStr">
        <is>
          <t>2021-05</t>
        </is>
      </c>
      <c r="B35" s="23">
        <f>IFERROR(AVERAGEIF('PPI ANP - Diesel (semanal)'!$C:$C,$A35,'PPI ANP - Diesel (semanal)'!$T:$T),"")</f>
        <v/>
      </c>
      <c r="C35" s="23">
        <f>IFERROR(AVERAGEIF('Preço Realização (semanal)'!$C:$C,$A35,'Preço Realização (semanal)'!$D:$D),"")</f>
        <v/>
      </c>
      <c r="D35" s="25">
        <f>IF(OR(B35="",C35=""),"",(B35-C35)/B35)</f>
        <v/>
      </c>
      <c r="E35" s="23">
        <f>IFERROR(AVERAGEIF('PPI ANP - Gasolina (semanal)'!$C:$C,$A35,'PPI ANP - Gasolina (semanal)'!$T:$T),"")</f>
        <v/>
      </c>
      <c r="F35" s="23">
        <f>IFERROR(AVERAGEIF('Preço Realização (semanal)'!$H:$H,$A35,'Preço Realização (semanal)'!$I:$I),"")</f>
        <v/>
      </c>
      <c r="G35" s="25">
        <f>IF(OR(E35="",F35=""),"",(E35-F35)/E35)</f>
        <v/>
      </c>
    </row>
    <row r="36">
      <c r="A36" t="inlineStr">
        <is>
          <t>2021-06</t>
        </is>
      </c>
      <c r="B36" s="23">
        <f>IFERROR(AVERAGEIF('PPI ANP - Diesel (semanal)'!$C:$C,$A36,'PPI ANP - Diesel (semanal)'!$T:$T),"")</f>
        <v/>
      </c>
      <c r="C36" s="23">
        <f>IFERROR(AVERAGEIF('Preço Realização (semanal)'!$C:$C,$A36,'Preço Realização (semanal)'!$D:$D),"")</f>
        <v/>
      </c>
      <c r="D36" s="25">
        <f>IF(OR(B36="",C36=""),"",(B36-C36)/B36)</f>
        <v/>
      </c>
      <c r="E36" s="23">
        <f>IFERROR(AVERAGEIF('PPI ANP - Gasolina (semanal)'!$C:$C,$A36,'PPI ANP - Gasolina (semanal)'!$T:$T),"")</f>
        <v/>
      </c>
      <c r="F36" s="23">
        <f>IFERROR(AVERAGEIF('Preço Realização (semanal)'!$H:$H,$A36,'Preço Realização (semanal)'!$I:$I),"")</f>
        <v/>
      </c>
      <c r="G36" s="25">
        <f>IF(OR(E36="",F36=""),"",(E36-F36)/E36)</f>
        <v/>
      </c>
    </row>
    <row r="37">
      <c r="A37" t="inlineStr">
        <is>
          <t>2021-07</t>
        </is>
      </c>
      <c r="B37" s="23">
        <f>IFERROR(AVERAGEIF('PPI ANP - Diesel (semanal)'!$C:$C,$A37,'PPI ANP - Diesel (semanal)'!$T:$T),"")</f>
        <v/>
      </c>
      <c r="C37" s="23">
        <f>IFERROR(AVERAGEIF('Preço Realização (semanal)'!$C:$C,$A37,'Preço Realização (semanal)'!$D:$D),"")</f>
        <v/>
      </c>
      <c r="D37" s="25">
        <f>IF(OR(B37="",C37=""),"",(B37-C37)/B37)</f>
        <v/>
      </c>
      <c r="E37" s="23">
        <f>IFERROR(AVERAGEIF('PPI ANP - Gasolina (semanal)'!$C:$C,$A37,'PPI ANP - Gasolina (semanal)'!$T:$T),"")</f>
        <v/>
      </c>
      <c r="F37" s="23">
        <f>IFERROR(AVERAGEIF('Preço Realização (semanal)'!$H:$H,$A37,'Preço Realização (semanal)'!$I:$I),"")</f>
        <v/>
      </c>
      <c r="G37" s="25">
        <f>IF(OR(E37="",F37=""),"",(E37-F37)/E37)</f>
        <v/>
      </c>
    </row>
    <row r="38">
      <c r="A38" t="inlineStr">
        <is>
          <t>2021-08</t>
        </is>
      </c>
      <c r="B38" s="23">
        <f>IFERROR(AVERAGEIF('PPI ANP - Diesel (semanal)'!$C:$C,$A38,'PPI ANP - Diesel (semanal)'!$T:$T),"")</f>
        <v/>
      </c>
      <c r="C38" s="23">
        <f>IFERROR(AVERAGEIF('Preço Realização (semanal)'!$C:$C,$A38,'Preço Realização (semanal)'!$D:$D),"")</f>
        <v/>
      </c>
      <c r="D38" s="25">
        <f>IF(OR(B38="",C38=""),"",(B38-C38)/B38)</f>
        <v/>
      </c>
      <c r="E38" s="23">
        <f>IFERROR(AVERAGEIF('PPI ANP - Gasolina (semanal)'!$C:$C,$A38,'PPI ANP - Gasolina (semanal)'!$T:$T),"")</f>
        <v/>
      </c>
      <c r="F38" s="23">
        <f>IFERROR(AVERAGEIF('Preço Realização (semanal)'!$H:$H,$A38,'Preço Realização (semanal)'!$I:$I),"")</f>
        <v/>
      </c>
      <c r="G38" s="25">
        <f>IF(OR(E38="",F38=""),"",(E38-F38)/E38)</f>
        <v/>
      </c>
    </row>
    <row r="39">
      <c r="A39" t="inlineStr">
        <is>
          <t>2021-09</t>
        </is>
      </c>
      <c r="B39" s="23">
        <f>IFERROR(AVERAGEIF('PPI ANP - Diesel (semanal)'!$C:$C,$A39,'PPI ANP - Diesel (semanal)'!$T:$T),"")</f>
        <v/>
      </c>
      <c r="C39" s="23">
        <f>IFERROR(AVERAGEIF('Preço Realização (semanal)'!$C:$C,$A39,'Preço Realização (semanal)'!$D:$D),"")</f>
        <v/>
      </c>
      <c r="D39" s="25">
        <f>IF(OR(B39="",C39=""),"",(B39-C39)/B39)</f>
        <v/>
      </c>
      <c r="E39" s="23">
        <f>IFERROR(AVERAGEIF('PPI ANP - Gasolina (semanal)'!$C:$C,$A39,'PPI ANP - Gasolina (semanal)'!$T:$T),"")</f>
        <v/>
      </c>
      <c r="F39" s="23">
        <f>IFERROR(AVERAGEIF('Preço Realização (semanal)'!$H:$H,$A39,'Preço Realização (semanal)'!$I:$I),"")</f>
        <v/>
      </c>
      <c r="G39" s="25">
        <f>IF(OR(E39="",F39=""),"",(E39-F39)/E39)</f>
        <v/>
      </c>
    </row>
    <row r="40">
      <c r="A40" t="inlineStr">
        <is>
          <t>2021-10</t>
        </is>
      </c>
      <c r="B40" s="23">
        <f>IFERROR(AVERAGEIF('PPI ANP - Diesel (semanal)'!$C:$C,$A40,'PPI ANP - Diesel (semanal)'!$T:$T),"")</f>
        <v/>
      </c>
      <c r="C40" s="23">
        <f>IFERROR(AVERAGEIF('Preço Realização (semanal)'!$C:$C,$A40,'Preço Realização (semanal)'!$D:$D),"")</f>
        <v/>
      </c>
      <c r="D40" s="25">
        <f>IF(OR(B40="",C40=""),"",(B40-C40)/B40)</f>
        <v/>
      </c>
      <c r="E40" s="23">
        <f>IFERROR(AVERAGEIF('PPI ANP - Gasolina (semanal)'!$C:$C,$A40,'PPI ANP - Gasolina (semanal)'!$T:$T),"")</f>
        <v/>
      </c>
      <c r="F40" s="23">
        <f>IFERROR(AVERAGEIF('Preço Realização (semanal)'!$H:$H,$A40,'Preço Realização (semanal)'!$I:$I),"")</f>
        <v/>
      </c>
      <c r="G40" s="25">
        <f>IF(OR(E40="",F40=""),"",(E40-F40)/E40)</f>
        <v/>
      </c>
    </row>
    <row r="41">
      <c r="A41" t="inlineStr">
        <is>
          <t>2021-11</t>
        </is>
      </c>
      <c r="B41" s="23">
        <f>IFERROR(AVERAGEIF('PPI ANP - Diesel (semanal)'!$C:$C,$A41,'PPI ANP - Diesel (semanal)'!$T:$T),"")</f>
        <v/>
      </c>
      <c r="C41" s="23">
        <f>IFERROR(AVERAGEIF('Preço Realização (semanal)'!$C:$C,$A41,'Preço Realização (semanal)'!$D:$D),"")</f>
        <v/>
      </c>
      <c r="D41" s="25">
        <f>IF(OR(B41="",C41=""),"",(B41-C41)/B41)</f>
        <v/>
      </c>
      <c r="E41" s="23">
        <f>IFERROR(AVERAGEIF('PPI ANP - Gasolina (semanal)'!$C:$C,$A41,'PPI ANP - Gasolina (semanal)'!$T:$T),"")</f>
        <v/>
      </c>
      <c r="F41" s="23">
        <f>IFERROR(AVERAGEIF('Preço Realização (semanal)'!$H:$H,$A41,'Preço Realização (semanal)'!$I:$I),"")</f>
        <v/>
      </c>
      <c r="G41" s="25">
        <f>IF(OR(E41="",F41=""),"",(E41-F41)/E41)</f>
        <v/>
      </c>
    </row>
    <row r="42">
      <c r="A42" t="inlineStr">
        <is>
          <t>2021-12</t>
        </is>
      </c>
      <c r="B42" s="23">
        <f>IFERROR(AVERAGEIF('PPI ANP - Diesel (semanal)'!$C:$C,$A42,'PPI ANP - Diesel (semanal)'!$T:$T),"")</f>
        <v/>
      </c>
      <c r="C42" s="23">
        <f>IFERROR(AVERAGEIF('Preço Realização (semanal)'!$C:$C,$A42,'Preço Realização (semanal)'!$D:$D),"")</f>
        <v/>
      </c>
      <c r="D42" s="25">
        <f>IF(OR(B42="",C42=""),"",(B42-C42)/B42)</f>
        <v/>
      </c>
      <c r="E42" s="23">
        <f>IFERROR(AVERAGEIF('PPI ANP - Gasolina (semanal)'!$C:$C,$A42,'PPI ANP - Gasolina (semanal)'!$T:$T),"")</f>
        <v/>
      </c>
      <c r="F42" s="23">
        <f>IFERROR(AVERAGEIF('Preço Realização (semanal)'!$H:$H,$A42,'Preço Realização (semanal)'!$I:$I),"")</f>
        <v/>
      </c>
      <c r="G42" s="25">
        <f>IF(OR(E42="",F42=""),"",(E42-F42)/E42)</f>
        <v/>
      </c>
    </row>
    <row r="43">
      <c r="A43" t="inlineStr">
        <is>
          <t>2022-01</t>
        </is>
      </c>
      <c r="B43" s="23">
        <f>IFERROR(AVERAGEIF('PPI ANP - Diesel (semanal)'!$C:$C,$A43,'PPI ANP - Diesel (semanal)'!$T:$T),"")</f>
        <v/>
      </c>
      <c r="C43" s="23">
        <f>IFERROR(AVERAGEIF('Preço Realização (semanal)'!$C:$C,$A43,'Preço Realização (semanal)'!$D:$D),"")</f>
        <v/>
      </c>
      <c r="D43" s="25">
        <f>IF(OR(B43="",C43=""),"",(B43-C43)/B43)</f>
        <v/>
      </c>
      <c r="E43" s="23">
        <f>IFERROR(AVERAGEIF('PPI ANP - Gasolina (semanal)'!$C:$C,$A43,'PPI ANP - Gasolina (semanal)'!$T:$T),"")</f>
        <v/>
      </c>
      <c r="F43" s="23">
        <f>IFERROR(AVERAGEIF('Preço Realização (semanal)'!$H:$H,$A43,'Preço Realização (semanal)'!$I:$I),"")</f>
        <v/>
      </c>
      <c r="G43" s="25">
        <f>IF(OR(E43="",F43=""),"",(E43-F43)/E43)</f>
        <v/>
      </c>
    </row>
    <row r="44">
      <c r="A44" t="inlineStr">
        <is>
          <t>2022-02</t>
        </is>
      </c>
      <c r="B44" s="23">
        <f>IFERROR(AVERAGEIF('PPI ANP - Diesel (semanal)'!$C:$C,$A44,'PPI ANP - Diesel (semanal)'!$T:$T),"")</f>
        <v/>
      </c>
      <c r="C44" s="23">
        <f>IFERROR(AVERAGEIF('Preço Realização (semanal)'!$C:$C,$A44,'Preço Realização (semanal)'!$D:$D),"")</f>
        <v/>
      </c>
      <c r="D44" s="25">
        <f>IF(OR(B44="",C44=""),"",(B44-C44)/B44)</f>
        <v/>
      </c>
      <c r="E44" s="23">
        <f>IFERROR(AVERAGEIF('PPI ANP - Gasolina (semanal)'!$C:$C,$A44,'PPI ANP - Gasolina (semanal)'!$T:$T),"")</f>
        <v/>
      </c>
      <c r="F44" s="23">
        <f>IFERROR(AVERAGEIF('Preço Realização (semanal)'!$H:$H,$A44,'Preço Realização (semanal)'!$I:$I),"")</f>
        <v/>
      </c>
      <c r="G44" s="25">
        <f>IF(OR(E44="",F44=""),"",(E44-F44)/E44)</f>
        <v/>
      </c>
    </row>
    <row r="45">
      <c r="A45" t="inlineStr">
        <is>
          <t>2022-03</t>
        </is>
      </c>
      <c r="B45" s="23">
        <f>IFERROR(AVERAGEIF('PPI ANP - Diesel (semanal)'!$C:$C,$A45,'PPI ANP - Diesel (semanal)'!$T:$T),"")</f>
        <v/>
      </c>
      <c r="C45" s="23">
        <f>IFERROR(AVERAGEIF('Preço Realização (semanal)'!$C:$C,$A45,'Preço Realização (semanal)'!$D:$D),"")</f>
        <v/>
      </c>
      <c r="D45" s="25">
        <f>IF(OR(B45="",C45=""),"",(B45-C45)/B45)</f>
        <v/>
      </c>
      <c r="E45" s="23">
        <f>IFERROR(AVERAGEIF('PPI ANP - Gasolina (semanal)'!$C:$C,$A45,'PPI ANP - Gasolina (semanal)'!$T:$T),"")</f>
        <v/>
      </c>
      <c r="F45" s="23">
        <f>IFERROR(AVERAGEIF('Preço Realização (semanal)'!$H:$H,$A45,'Preço Realização (semanal)'!$I:$I),"")</f>
        <v/>
      </c>
      <c r="G45" s="25">
        <f>IF(OR(E45="",F45=""),"",(E45-F45)/E45)</f>
        <v/>
      </c>
    </row>
    <row r="46">
      <c r="A46" t="inlineStr">
        <is>
          <t>2022-04</t>
        </is>
      </c>
      <c r="B46" s="23">
        <f>IFERROR(AVERAGEIF('PPI ANP - Diesel (semanal)'!$C:$C,$A46,'PPI ANP - Diesel (semanal)'!$T:$T),"")</f>
        <v/>
      </c>
      <c r="C46" s="23">
        <f>IFERROR(AVERAGEIF('Preço Realização (semanal)'!$C:$C,$A46,'Preço Realização (semanal)'!$D:$D),"")</f>
        <v/>
      </c>
      <c r="D46" s="25">
        <f>IF(OR(B46="",C46=""),"",(B46-C46)/B46)</f>
        <v/>
      </c>
      <c r="E46" s="23">
        <f>IFERROR(AVERAGEIF('PPI ANP - Gasolina (semanal)'!$C:$C,$A46,'PPI ANP - Gasolina (semanal)'!$T:$T),"")</f>
        <v/>
      </c>
      <c r="F46" s="23">
        <f>IFERROR(AVERAGEIF('Preço Realização (semanal)'!$H:$H,$A46,'Preço Realização (semanal)'!$I:$I),"")</f>
        <v/>
      </c>
      <c r="G46" s="25">
        <f>IF(OR(E46="",F46=""),"",(E46-F46)/E46)</f>
        <v/>
      </c>
    </row>
    <row r="47">
      <c r="A47" t="inlineStr">
        <is>
          <t>2022-05</t>
        </is>
      </c>
      <c r="B47" s="23">
        <f>IFERROR(AVERAGEIF('PPI ANP - Diesel (semanal)'!$C:$C,$A47,'PPI ANP - Diesel (semanal)'!$T:$T),"")</f>
        <v/>
      </c>
      <c r="C47" s="23">
        <f>IFERROR(AVERAGEIF('Preço Realização (semanal)'!$C:$C,$A47,'Preço Realização (semanal)'!$D:$D),"")</f>
        <v/>
      </c>
      <c r="D47" s="25">
        <f>IF(OR(B47="",C47=""),"",(B47-C47)/B47)</f>
        <v/>
      </c>
      <c r="E47" s="23">
        <f>IFERROR(AVERAGEIF('PPI ANP - Gasolina (semanal)'!$C:$C,$A47,'PPI ANP - Gasolina (semanal)'!$T:$T),"")</f>
        <v/>
      </c>
      <c r="F47" s="23">
        <f>IFERROR(AVERAGEIF('Preço Realização (semanal)'!$H:$H,$A47,'Preço Realização (semanal)'!$I:$I),"")</f>
        <v/>
      </c>
      <c r="G47" s="25">
        <f>IF(OR(E47="",F47=""),"",(E47-F47)/E47)</f>
        <v/>
      </c>
    </row>
    <row r="48">
      <c r="A48" t="inlineStr">
        <is>
          <t>2022-06</t>
        </is>
      </c>
      <c r="B48" s="23">
        <f>IFERROR(AVERAGEIF('PPI ANP - Diesel (semanal)'!$C:$C,$A48,'PPI ANP - Diesel (semanal)'!$T:$T),"")</f>
        <v/>
      </c>
      <c r="C48" s="23">
        <f>IFERROR(AVERAGEIF('Preço Realização (semanal)'!$C:$C,$A48,'Preço Realização (semanal)'!$D:$D),"")</f>
        <v/>
      </c>
      <c r="D48" s="25">
        <f>IF(OR(B48="",C48=""),"",(B48-C48)/B48)</f>
        <v/>
      </c>
      <c r="E48" s="23">
        <f>IFERROR(AVERAGEIF('PPI ANP - Gasolina (semanal)'!$C:$C,$A48,'PPI ANP - Gasolina (semanal)'!$T:$T),"")</f>
        <v/>
      </c>
      <c r="F48" s="23">
        <f>IFERROR(AVERAGEIF('Preço Realização (semanal)'!$H:$H,$A48,'Preço Realização (semanal)'!$I:$I),"")</f>
        <v/>
      </c>
      <c r="G48" s="25">
        <f>IF(OR(E48="",F48=""),"",(E48-F48)/E48)</f>
        <v/>
      </c>
    </row>
    <row r="49">
      <c r="A49" t="inlineStr">
        <is>
          <t>2022-07</t>
        </is>
      </c>
      <c r="B49" s="23">
        <f>IFERROR(AVERAGEIF('PPI ANP - Diesel (semanal)'!$C:$C,$A49,'PPI ANP - Diesel (semanal)'!$T:$T),"")</f>
        <v/>
      </c>
      <c r="C49" s="23">
        <f>IFERROR(AVERAGEIF('Preço Realização (semanal)'!$C:$C,$A49,'Preço Realização (semanal)'!$D:$D),"")</f>
        <v/>
      </c>
      <c r="D49" s="25">
        <f>IF(OR(B49="",C49=""),"",(B49-C49)/B49)</f>
        <v/>
      </c>
      <c r="E49" s="23">
        <f>IFERROR(AVERAGEIF('PPI ANP - Gasolina (semanal)'!$C:$C,$A49,'PPI ANP - Gasolina (semanal)'!$T:$T),"")</f>
        <v/>
      </c>
      <c r="F49" s="23">
        <f>IFERROR(AVERAGEIF('Preço Realização (semanal)'!$H:$H,$A49,'Preço Realização (semanal)'!$I:$I),"")</f>
        <v/>
      </c>
      <c r="G49" s="25">
        <f>IF(OR(E49="",F49=""),"",(E49-F49)/E49)</f>
        <v/>
      </c>
    </row>
    <row r="50">
      <c r="A50" t="inlineStr">
        <is>
          <t>2022-08</t>
        </is>
      </c>
      <c r="B50" s="23">
        <f>IFERROR(AVERAGEIF('PPI ANP - Diesel (semanal)'!$C:$C,$A50,'PPI ANP - Diesel (semanal)'!$T:$T),"")</f>
        <v/>
      </c>
      <c r="C50" s="23">
        <f>IFERROR(AVERAGEIF('Preço Realização (semanal)'!$C:$C,$A50,'Preço Realização (semanal)'!$D:$D),"")</f>
        <v/>
      </c>
      <c r="D50" s="25">
        <f>IF(OR(B50="",C50=""),"",(B50-C50)/B50)</f>
        <v/>
      </c>
      <c r="E50" s="23">
        <f>IFERROR(AVERAGEIF('PPI ANP - Gasolina (semanal)'!$C:$C,$A50,'PPI ANP - Gasolina (semanal)'!$T:$T),"")</f>
        <v/>
      </c>
      <c r="F50" s="23">
        <f>IFERROR(AVERAGEIF('Preço Realização (semanal)'!$H:$H,$A50,'Preço Realização (semanal)'!$I:$I),"")</f>
        <v/>
      </c>
      <c r="G50" s="25">
        <f>IF(OR(E50="",F50=""),"",(E50-F50)/E50)</f>
        <v/>
      </c>
    </row>
    <row r="51">
      <c r="A51" t="inlineStr">
        <is>
          <t>2022-09</t>
        </is>
      </c>
      <c r="B51" s="23">
        <f>IFERROR(AVERAGEIF('PPI ANP - Diesel (semanal)'!$C:$C,$A51,'PPI ANP - Diesel (semanal)'!$T:$T),"")</f>
        <v/>
      </c>
      <c r="C51" s="23">
        <f>IFERROR(AVERAGEIF('Preço Realização (semanal)'!$C:$C,$A51,'Preço Realização (semanal)'!$D:$D),"")</f>
        <v/>
      </c>
      <c r="D51" s="25">
        <f>IF(OR(B51="",C51=""),"",(B51-C51)/B51)</f>
        <v/>
      </c>
      <c r="E51" s="23">
        <f>IFERROR(AVERAGEIF('PPI ANP - Gasolina (semanal)'!$C:$C,$A51,'PPI ANP - Gasolina (semanal)'!$T:$T),"")</f>
        <v/>
      </c>
      <c r="F51" s="23">
        <f>IFERROR(AVERAGEIF('Preço Realização (semanal)'!$H:$H,$A51,'Preço Realização (semanal)'!$I:$I),"")</f>
        <v/>
      </c>
      <c r="G51" s="25">
        <f>IF(OR(E51="",F51=""),"",(E51-F51)/E51)</f>
        <v/>
      </c>
    </row>
    <row r="52">
      <c r="A52" t="inlineStr">
        <is>
          <t>2022-10</t>
        </is>
      </c>
      <c r="B52" s="23">
        <f>IFERROR(AVERAGEIF('PPI ANP - Diesel (semanal)'!$C:$C,$A52,'PPI ANP - Diesel (semanal)'!$T:$T),"")</f>
        <v/>
      </c>
      <c r="C52" s="23">
        <f>IFERROR(AVERAGEIF('Preço Realização (semanal)'!$C:$C,$A52,'Preço Realização (semanal)'!$D:$D),"")</f>
        <v/>
      </c>
      <c r="D52" s="25">
        <f>IF(OR(B52="",C52=""),"",(B52-C52)/B52)</f>
        <v/>
      </c>
      <c r="E52" s="23">
        <f>IFERROR(AVERAGEIF('PPI ANP - Gasolina (semanal)'!$C:$C,$A52,'PPI ANP - Gasolina (semanal)'!$T:$T),"")</f>
        <v/>
      </c>
      <c r="F52" s="23">
        <f>IFERROR(AVERAGEIF('Preço Realização (semanal)'!$H:$H,$A52,'Preço Realização (semanal)'!$I:$I),"")</f>
        <v/>
      </c>
      <c r="G52" s="25">
        <f>IF(OR(E52="",F52=""),"",(E52-F52)/E52)</f>
        <v/>
      </c>
    </row>
    <row r="53">
      <c r="A53" t="inlineStr">
        <is>
          <t>2022-11</t>
        </is>
      </c>
      <c r="B53" s="23">
        <f>IFERROR(AVERAGEIF('PPI ANP - Diesel (semanal)'!$C:$C,$A53,'PPI ANP - Diesel (semanal)'!$T:$T),"")</f>
        <v/>
      </c>
      <c r="C53" s="23">
        <f>IFERROR(AVERAGEIF('Preço Realização (semanal)'!$C:$C,$A53,'Preço Realização (semanal)'!$D:$D),"")</f>
        <v/>
      </c>
      <c r="D53" s="25">
        <f>IF(OR(B53="",C53=""),"",(B53-C53)/B53)</f>
        <v/>
      </c>
      <c r="E53" s="23">
        <f>IFERROR(AVERAGEIF('PPI ANP - Gasolina (semanal)'!$C:$C,$A53,'PPI ANP - Gasolina (semanal)'!$T:$T),"")</f>
        <v/>
      </c>
      <c r="F53" s="23">
        <f>IFERROR(AVERAGEIF('Preço Realização (semanal)'!$H:$H,$A53,'Preço Realização (semanal)'!$I:$I),"")</f>
        <v/>
      </c>
      <c r="G53" s="25">
        <f>IF(OR(E53="",F53=""),"",(E53-F53)/E53)</f>
        <v/>
      </c>
    </row>
    <row r="54">
      <c r="A54" t="inlineStr">
        <is>
          <t>2022-12</t>
        </is>
      </c>
      <c r="B54" s="23">
        <f>IFERROR(AVERAGEIF('PPI ANP - Diesel (semanal)'!$C:$C,$A54,'PPI ANP - Diesel (semanal)'!$T:$T),"")</f>
        <v/>
      </c>
      <c r="C54" s="23">
        <f>IFERROR(AVERAGEIF('Preço Realização (semanal)'!$C:$C,$A54,'Preço Realização (semanal)'!$D:$D),"")</f>
        <v/>
      </c>
      <c r="D54" s="25">
        <f>IF(OR(B54="",C54=""),"",(B54-C54)/B54)</f>
        <v/>
      </c>
      <c r="E54" s="23">
        <f>IFERROR(AVERAGEIF('PPI ANP - Gasolina (semanal)'!$C:$C,$A54,'PPI ANP - Gasolina (semanal)'!$T:$T),"")</f>
        <v/>
      </c>
      <c r="F54" s="23">
        <f>IFERROR(AVERAGEIF('Preço Realização (semanal)'!$H:$H,$A54,'Preço Realização (semanal)'!$I:$I),"")</f>
        <v/>
      </c>
      <c r="G54" s="25">
        <f>IF(OR(E54="",F54=""),"",(E54-F54)/E54)</f>
        <v/>
      </c>
    </row>
    <row r="55">
      <c r="A55" t="inlineStr">
        <is>
          <t>2023-01</t>
        </is>
      </c>
      <c r="B55" s="23">
        <f>IFERROR(AVERAGEIF('PPI ANP - Diesel (semanal)'!$C:$C,$A55,'PPI ANP - Diesel (semanal)'!$T:$T),"")</f>
        <v/>
      </c>
      <c r="C55" s="23">
        <f>IFERROR(AVERAGEIF('Preço Realização (semanal)'!$C:$C,$A55,'Preço Realização (semanal)'!$D:$D),"")</f>
        <v/>
      </c>
      <c r="D55" s="25">
        <f>IF(OR(B55="",C55=""),"",(B55-C55)/B55)</f>
        <v/>
      </c>
      <c r="E55" s="23">
        <f>IFERROR(AVERAGEIF('PPI ANP - Gasolina (semanal)'!$C:$C,$A55,'PPI ANP - Gasolina (semanal)'!$T:$T),"")</f>
        <v/>
      </c>
      <c r="F55" s="23">
        <f>IFERROR(AVERAGEIF('Preço Realização (semanal)'!$H:$H,$A55,'Preço Realização (semanal)'!$I:$I),"")</f>
        <v/>
      </c>
      <c r="G55" s="25">
        <f>IF(OR(E55="",F55=""),"",(E55-F55)/E55)</f>
        <v/>
      </c>
    </row>
    <row r="56">
      <c r="A56" t="inlineStr">
        <is>
          <t>2023-02</t>
        </is>
      </c>
      <c r="B56" s="23">
        <f>IFERROR(AVERAGEIF('PPI ANP - Diesel (semanal)'!$C:$C,$A56,'PPI ANP - Diesel (semanal)'!$T:$T),"")</f>
        <v/>
      </c>
      <c r="C56" s="23">
        <f>IFERROR(AVERAGEIF('Preço Realização (semanal)'!$C:$C,$A56,'Preço Realização (semanal)'!$D:$D),"")</f>
        <v/>
      </c>
      <c r="D56" s="25">
        <f>IF(OR(B56="",C56=""),"",(B56-C56)/B56)</f>
        <v/>
      </c>
      <c r="E56" s="23">
        <f>IFERROR(AVERAGEIF('PPI ANP - Gasolina (semanal)'!$C:$C,$A56,'PPI ANP - Gasolina (semanal)'!$T:$T),"")</f>
        <v/>
      </c>
      <c r="F56" s="23">
        <f>IFERROR(AVERAGEIF('Preço Realização (semanal)'!$H:$H,$A56,'Preço Realização (semanal)'!$I:$I),"")</f>
        <v/>
      </c>
      <c r="G56" s="25">
        <f>IF(OR(E56="",F56=""),"",(E56-F56)/E56)</f>
        <v/>
      </c>
    </row>
    <row r="57">
      <c r="A57" t="inlineStr">
        <is>
          <t>2023-03</t>
        </is>
      </c>
      <c r="B57" s="23">
        <f>IFERROR(AVERAGEIF('PPI ANP - Diesel (semanal)'!$C:$C,$A57,'PPI ANP - Diesel (semanal)'!$T:$T),"")</f>
        <v/>
      </c>
      <c r="C57" s="23">
        <f>IFERROR(AVERAGEIF('Preço Realização (semanal)'!$C:$C,$A57,'Preço Realização (semanal)'!$D:$D),"")</f>
        <v/>
      </c>
      <c r="D57" s="25">
        <f>IF(OR(B57="",C57=""),"",(B57-C57)/B57)</f>
        <v/>
      </c>
      <c r="E57" s="23">
        <f>IFERROR(AVERAGEIF('PPI ANP - Gasolina (semanal)'!$C:$C,$A57,'PPI ANP - Gasolina (semanal)'!$T:$T),"")</f>
        <v/>
      </c>
      <c r="F57" s="23">
        <f>IFERROR(AVERAGEIF('Preço Realização (semanal)'!$H:$H,$A57,'Preço Realização (semanal)'!$I:$I),"")</f>
        <v/>
      </c>
      <c r="G57" s="25">
        <f>IF(OR(E57="",F57=""),"",(E57-F57)/E57)</f>
        <v/>
      </c>
    </row>
    <row r="58">
      <c r="A58" t="inlineStr">
        <is>
          <t>2023-04</t>
        </is>
      </c>
      <c r="B58" s="23">
        <f>IFERROR(AVERAGEIF('PPI ANP - Diesel (semanal)'!$C:$C,$A58,'PPI ANP - Diesel (semanal)'!$T:$T),"")</f>
        <v/>
      </c>
      <c r="C58" s="23">
        <f>IFERROR(AVERAGEIF('Preço Realização (semanal)'!$C:$C,$A58,'Preço Realização (semanal)'!$D:$D),"")</f>
        <v/>
      </c>
      <c r="D58" s="25">
        <f>IF(OR(B58="",C58=""),"",(B58-C58)/B58)</f>
        <v/>
      </c>
      <c r="E58" s="23">
        <f>IFERROR(AVERAGEIF('PPI ANP - Gasolina (semanal)'!$C:$C,$A58,'PPI ANP - Gasolina (semanal)'!$T:$T),"")</f>
        <v/>
      </c>
      <c r="F58" s="23">
        <f>IFERROR(AVERAGEIF('Preço Realização (semanal)'!$H:$H,$A58,'Preço Realização (semanal)'!$I:$I),"")</f>
        <v/>
      </c>
      <c r="G58" s="25">
        <f>IF(OR(E58="",F58=""),"",(E58-F58)/E58)</f>
        <v/>
      </c>
    </row>
    <row r="59">
      <c r="A59" t="inlineStr">
        <is>
          <t>2023-05</t>
        </is>
      </c>
      <c r="B59" s="23">
        <f>IFERROR(AVERAGEIF('PPI ANP - Diesel (semanal)'!$C:$C,$A59,'PPI ANP - Diesel (semanal)'!$T:$T),"")</f>
        <v/>
      </c>
      <c r="C59" s="23">
        <f>IFERROR(AVERAGEIF('Preço Realização (semanal)'!$C:$C,$A59,'Preço Realização (semanal)'!$D:$D),"")</f>
        <v/>
      </c>
      <c r="D59" s="25">
        <f>IF(OR(B59="",C59=""),"",(B59-C59)/B59)</f>
        <v/>
      </c>
      <c r="E59" s="23">
        <f>IFERROR(AVERAGEIF('PPI ANP - Gasolina (semanal)'!$C:$C,$A59,'PPI ANP - Gasolina (semanal)'!$T:$T),"")</f>
        <v/>
      </c>
      <c r="F59" s="23">
        <f>IFERROR(AVERAGEIF('Preço Realização (semanal)'!$H:$H,$A59,'Preço Realização (semanal)'!$I:$I),"")</f>
        <v/>
      </c>
      <c r="G59" s="25">
        <f>IF(OR(E59="",F59=""),"",(E59-F59)/E59)</f>
        <v/>
      </c>
    </row>
    <row r="60">
      <c r="A60" t="inlineStr">
        <is>
          <t>2023-06</t>
        </is>
      </c>
      <c r="B60" s="23">
        <f>IFERROR(AVERAGEIF('PPI ANP - Diesel (semanal)'!$C:$C,$A60,'PPI ANP - Diesel (semanal)'!$T:$T),"")</f>
        <v/>
      </c>
      <c r="C60" s="23">
        <f>IFERROR(AVERAGEIF('Preço Realização (semanal)'!$C:$C,$A60,'Preço Realização (semanal)'!$D:$D),"")</f>
        <v/>
      </c>
      <c r="D60" s="25">
        <f>IF(OR(B60="",C60=""),"",(B60-C60)/B60)</f>
        <v/>
      </c>
      <c r="E60" s="23">
        <f>IFERROR(AVERAGEIF('PPI ANP - Gasolina (semanal)'!$C:$C,$A60,'PPI ANP - Gasolina (semanal)'!$T:$T),"")</f>
        <v/>
      </c>
      <c r="F60" s="23">
        <f>IFERROR(AVERAGEIF('Preço Realização (semanal)'!$H:$H,$A60,'Preço Realização (semanal)'!$I:$I),"")</f>
        <v/>
      </c>
      <c r="G60" s="25">
        <f>IF(OR(E60="",F60=""),"",(E60-F60)/E60)</f>
        <v/>
      </c>
    </row>
    <row r="61">
      <c r="A61" t="inlineStr">
        <is>
          <t>2023-07</t>
        </is>
      </c>
      <c r="B61" s="23">
        <f>IFERROR(AVERAGEIF('PPI ANP - Diesel (semanal)'!$C:$C,$A61,'PPI ANP - Diesel (semanal)'!$T:$T),"")</f>
        <v/>
      </c>
      <c r="C61" s="23">
        <f>IFERROR(AVERAGEIF('Preço Realização (semanal)'!$C:$C,$A61,'Preço Realização (semanal)'!$D:$D),"")</f>
        <v/>
      </c>
      <c r="D61" s="25">
        <f>IF(OR(B61="",C61=""),"",(B61-C61)/B61)</f>
        <v/>
      </c>
      <c r="E61" s="23">
        <f>IFERROR(AVERAGEIF('PPI ANP - Gasolina (semanal)'!$C:$C,$A61,'PPI ANP - Gasolina (semanal)'!$T:$T),"")</f>
        <v/>
      </c>
      <c r="F61" s="23">
        <f>IFERROR(AVERAGEIF('Preço Realização (semanal)'!$H:$H,$A61,'Preço Realização (semanal)'!$I:$I),"")</f>
        <v/>
      </c>
      <c r="G61" s="25">
        <f>IF(OR(E61="",F61=""),"",(E61-F61)/E61)</f>
        <v/>
      </c>
    </row>
    <row r="62">
      <c r="A62" t="inlineStr">
        <is>
          <t>2023-08</t>
        </is>
      </c>
      <c r="B62" s="23">
        <f>IFERROR(AVERAGEIF('PPI ANP - Diesel (semanal)'!$C:$C,$A62,'PPI ANP - Diesel (semanal)'!$T:$T),"")</f>
        <v/>
      </c>
      <c r="C62" s="23">
        <f>IFERROR(AVERAGEIF('Preço Realização (semanal)'!$C:$C,$A62,'Preço Realização (semanal)'!$D:$D),"")</f>
        <v/>
      </c>
      <c r="D62" s="25">
        <f>IF(OR(B62="",C62=""),"",(B62-C62)/B62)</f>
        <v/>
      </c>
      <c r="E62" s="23">
        <f>IFERROR(AVERAGEIF('PPI ANP - Gasolina (semanal)'!$C:$C,$A62,'PPI ANP - Gasolina (semanal)'!$T:$T),"")</f>
        <v/>
      </c>
      <c r="F62" s="23">
        <f>IFERROR(AVERAGEIF('Preço Realização (semanal)'!$H:$H,$A62,'Preço Realização (semanal)'!$I:$I),"")</f>
        <v/>
      </c>
      <c r="G62" s="25">
        <f>IF(OR(E62="",F62=""),"",(E62-F62)/E62)</f>
        <v/>
      </c>
    </row>
    <row r="63">
      <c r="A63" t="inlineStr">
        <is>
          <t>2023-09</t>
        </is>
      </c>
      <c r="B63" s="23">
        <f>IFERROR(AVERAGEIF('PPI ANP - Diesel (semanal)'!$C:$C,$A63,'PPI ANP - Diesel (semanal)'!$T:$T),"")</f>
        <v/>
      </c>
      <c r="C63" s="23">
        <f>IFERROR(AVERAGEIF('Preço Realização (semanal)'!$C:$C,$A63,'Preço Realização (semanal)'!$D:$D),"")</f>
        <v/>
      </c>
      <c r="D63" s="25">
        <f>IF(OR(B63="",C63=""),"",(B63-C63)/B63)</f>
        <v/>
      </c>
      <c r="E63" s="23">
        <f>IFERROR(AVERAGEIF('PPI ANP - Gasolina (semanal)'!$C:$C,$A63,'PPI ANP - Gasolina (semanal)'!$T:$T),"")</f>
        <v/>
      </c>
      <c r="F63" s="23">
        <f>IFERROR(AVERAGEIF('Preço Realização (semanal)'!$H:$H,$A63,'Preço Realização (semanal)'!$I:$I),"")</f>
        <v/>
      </c>
      <c r="G63" s="25">
        <f>IF(OR(E63="",F63=""),"",(E63-F63)/E63)</f>
        <v/>
      </c>
    </row>
    <row r="64">
      <c r="A64" t="inlineStr">
        <is>
          <t>2023-10</t>
        </is>
      </c>
      <c r="B64" s="23">
        <f>IFERROR(AVERAGEIF('PPI ANP - Diesel (semanal)'!$C:$C,$A64,'PPI ANP - Diesel (semanal)'!$T:$T),"")</f>
        <v/>
      </c>
      <c r="C64" s="23">
        <f>IFERROR(AVERAGEIF('Preço Realização (semanal)'!$C:$C,$A64,'Preço Realização (semanal)'!$D:$D),"")</f>
        <v/>
      </c>
      <c r="D64" s="25">
        <f>IF(OR(B64="",C64=""),"",(B64-C64)/B64)</f>
        <v/>
      </c>
      <c r="E64" s="23">
        <f>IFERROR(AVERAGEIF('PPI ANP - Gasolina (semanal)'!$C:$C,$A64,'PPI ANP - Gasolina (semanal)'!$T:$T),"")</f>
        <v/>
      </c>
      <c r="F64" s="23">
        <f>IFERROR(AVERAGEIF('Preço Realização (semanal)'!$H:$H,$A64,'Preço Realização (semanal)'!$I:$I),"")</f>
        <v/>
      </c>
      <c r="G64" s="25">
        <f>IF(OR(E64="",F64=""),"",(E64-F64)/E64)</f>
        <v/>
      </c>
    </row>
    <row r="65">
      <c r="A65" t="inlineStr">
        <is>
          <t>2023-11</t>
        </is>
      </c>
      <c r="B65" s="23">
        <f>IFERROR(AVERAGEIF('PPI ANP - Diesel (semanal)'!$C:$C,$A65,'PPI ANP - Diesel (semanal)'!$T:$T),"")</f>
        <v/>
      </c>
      <c r="C65" s="23">
        <f>IFERROR(AVERAGEIF('Preço Realização (semanal)'!$C:$C,$A65,'Preço Realização (semanal)'!$D:$D),"")</f>
        <v/>
      </c>
      <c r="D65" s="25">
        <f>IF(OR(B65="",C65=""),"",(B65-C65)/B65)</f>
        <v/>
      </c>
      <c r="E65" s="23">
        <f>IFERROR(AVERAGEIF('PPI ANP - Gasolina (semanal)'!$C:$C,$A65,'PPI ANP - Gasolina (semanal)'!$T:$T),"")</f>
        <v/>
      </c>
      <c r="F65" s="23">
        <f>IFERROR(AVERAGEIF('Preço Realização (semanal)'!$H:$H,$A65,'Preço Realização (semanal)'!$I:$I),"")</f>
        <v/>
      </c>
      <c r="G65" s="25">
        <f>IF(OR(E65="",F65=""),"",(E65-F65)/E65)</f>
        <v/>
      </c>
    </row>
    <row r="66">
      <c r="A66" t="inlineStr">
        <is>
          <t>2023-12</t>
        </is>
      </c>
      <c r="B66" s="23">
        <f>IFERROR(AVERAGEIF('PPI ANP - Diesel (semanal)'!$C:$C,$A66,'PPI ANP - Diesel (semanal)'!$T:$T),"")</f>
        <v/>
      </c>
      <c r="C66" s="23">
        <f>IFERROR(AVERAGEIF('Preço Realização (semanal)'!$C:$C,$A66,'Preço Realização (semanal)'!$D:$D),"")</f>
        <v/>
      </c>
      <c r="D66" s="25">
        <f>IF(OR(B66="",C66=""),"",(B66-C66)/B66)</f>
        <v/>
      </c>
      <c r="E66" s="23">
        <f>IFERROR(AVERAGEIF('PPI ANP - Gasolina (semanal)'!$C:$C,$A66,'PPI ANP - Gasolina (semanal)'!$T:$T),"")</f>
        <v/>
      </c>
      <c r="F66" s="23">
        <f>IFERROR(AVERAGEIF('Preço Realização (semanal)'!$H:$H,$A66,'Preço Realização (semanal)'!$I:$I),"")</f>
        <v/>
      </c>
      <c r="G66" s="25">
        <f>IF(OR(E66="",F66=""),"",(E66-F66)/E66)</f>
        <v/>
      </c>
    </row>
    <row r="67">
      <c r="A67" t="inlineStr">
        <is>
          <t>2024-01</t>
        </is>
      </c>
      <c r="B67" s="23">
        <f>IFERROR(AVERAGEIF('PPI ANP - Diesel (semanal)'!$C:$C,$A67,'PPI ANP - Diesel (semanal)'!$T:$T),"")</f>
        <v/>
      </c>
      <c r="C67" s="23">
        <f>IFERROR(AVERAGEIF('Preço Realização (semanal)'!$C:$C,$A67,'Preço Realização (semanal)'!$D:$D),"")</f>
        <v/>
      </c>
      <c r="D67" s="25">
        <f>IF(OR(B67="",C67=""),"",(B67-C67)/B67)</f>
        <v/>
      </c>
      <c r="E67" s="23">
        <f>IFERROR(AVERAGEIF('PPI ANP - Gasolina (semanal)'!$C:$C,$A67,'PPI ANP - Gasolina (semanal)'!$T:$T),"")</f>
        <v/>
      </c>
      <c r="F67" s="23">
        <f>IFERROR(AVERAGEIF('Preço Realização (semanal)'!$H:$H,$A67,'Preço Realização (semanal)'!$I:$I),"")</f>
        <v/>
      </c>
      <c r="G67" s="25">
        <f>IF(OR(E67="",F67=""),"",(E67-F67)/E67)</f>
        <v/>
      </c>
    </row>
    <row r="68">
      <c r="A68" t="inlineStr">
        <is>
          <t>2024-02</t>
        </is>
      </c>
      <c r="B68" s="23">
        <f>IFERROR(AVERAGEIF('PPI ANP - Diesel (semanal)'!$C:$C,$A68,'PPI ANP - Diesel (semanal)'!$T:$T),"")</f>
        <v/>
      </c>
      <c r="C68" s="23">
        <f>IFERROR(AVERAGEIF('Preço Realização (semanal)'!$C:$C,$A68,'Preço Realização (semanal)'!$D:$D),"")</f>
        <v/>
      </c>
      <c r="D68" s="25">
        <f>IF(OR(B68="",C68=""),"",(B68-C68)/B68)</f>
        <v/>
      </c>
      <c r="E68" s="23">
        <f>IFERROR(AVERAGEIF('PPI ANP - Gasolina (semanal)'!$C:$C,$A68,'PPI ANP - Gasolina (semanal)'!$T:$T),"")</f>
        <v/>
      </c>
      <c r="F68" s="23">
        <f>IFERROR(AVERAGEIF('Preço Realização (semanal)'!$H:$H,$A68,'Preço Realização (semanal)'!$I:$I),"")</f>
        <v/>
      </c>
      <c r="G68" s="25">
        <f>IF(OR(E68="",F68=""),"",(E68-F68)/E68)</f>
        <v/>
      </c>
    </row>
    <row r="69">
      <c r="A69" t="inlineStr">
        <is>
          <t>2024-03</t>
        </is>
      </c>
      <c r="B69" s="23">
        <f>IFERROR(AVERAGEIF('PPI ANP - Diesel (semanal)'!$C:$C,$A69,'PPI ANP - Diesel (semanal)'!$T:$T),"")</f>
        <v/>
      </c>
      <c r="C69" s="23">
        <f>IFERROR(AVERAGEIF('Preço Realização (semanal)'!$C:$C,$A69,'Preço Realização (semanal)'!$D:$D),"")</f>
        <v/>
      </c>
      <c r="D69" s="25">
        <f>IF(OR(B69="",C69=""),"",(B69-C69)/B69)</f>
        <v/>
      </c>
      <c r="E69" s="23">
        <f>IFERROR(AVERAGEIF('PPI ANP - Gasolina (semanal)'!$C:$C,$A69,'PPI ANP - Gasolina (semanal)'!$T:$T),"")</f>
        <v/>
      </c>
      <c r="F69" s="23">
        <f>IFERROR(AVERAGEIF('Preço Realização (semanal)'!$H:$H,$A69,'Preço Realização (semanal)'!$I:$I),"")</f>
        <v/>
      </c>
      <c r="G69" s="25">
        <f>IF(OR(E69="",F69=""),"",(E69-F69)/E69)</f>
        <v/>
      </c>
    </row>
    <row r="70">
      <c r="A70" t="inlineStr">
        <is>
          <t>2024-04</t>
        </is>
      </c>
      <c r="B70" s="23">
        <f>IFERROR(AVERAGEIF('PPI ANP - Diesel (semanal)'!$C:$C,$A70,'PPI ANP - Diesel (semanal)'!$T:$T),"")</f>
        <v/>
      </c>
      <c r="C70" s="23">
        <f>IFERROR(AVERAGEIF('Preço Realização (semanal)'!$C:$C,$A70,'Preço Realização (semanal)'!$D:$D),"")</f>
        <v/>
      </c>
      <c r="D70" s="25">
        <f>IF(OR(B70="",C70=""),"",(B70-C70)/B70)</f>
        <v/>
      </c>
      <c r="E70" s="23">
        <f>IFERROR(AVERAGEIF('PPI ANP - Gasolina (semanal)'!$C:$C,$A70,'PPI ANP - Gasolina (semanal)'!$T:$T),"")</f>
        <v/>
      </c>
      <c r="F70" s="23">
        <f>IFERROR(AVERAGEIF('Preço Realização (semanal)'!$H:$H,$A70,'Preço Realização (semanal)'!$I:$I),"")</f>
        <v/>
      </c>
      <c r="G70" s="25">
        <f>IF(OR(E70="",F70=""),"",(E70-F70)/E70)</f>
        <v/>
      </c>
    </row>
    <row r="71">
      <c r="A71" t="inlineStr">
        <is>
          <t>2024-05</t>
        </is>
      </c>
      <c r="B71" s="23">
        <f>IFERROR(AVERAGEIF('PPI ANP - Diesel (semanal)'!$C:$C,$A71,'PPI ANP - Diesel (semanal)'!$T:$T),"")</f>
        <v/>
      </c>
      <c r="C71" s="23">
        <f>IFERROR(AVERAGEIF('Preço Realização (semanal)'!$C:$C,$A71,'Preço Realização (semanal)'!$D:$D),"")</f>
        <v/>
      </c>
      <c r="D71" s="25">
        <f>IF(OR(B71="",C71=""),"",(B71-C71)/B71)</f>
        <v/>
      </c>
      <c r="E71" s="23">
        <f>IFERROR(AVERAGEIF('PPI ANP - Gasolina (semanal)'!$C:$C,$A71,'PPI ANP - Gasolina (semanal)'!$T:$T),"")</f>
        <v/>
      </c>
      <c r="F71" s="23">
        <f>IFERROR(AVERAGEIF('Preço Realização (semanal)'!$H:$H,$A71,'Preço Realização (semanal)'!$I:$I),"")</f>
        <v/>
      </c>
      <c r="G71" s="25">
        <f>IF(OR(E71="",F71=""),"",(E71-F71)/E71)</f>
        <v/>
      </c>
    </row>
    <row r="72">
      <c r="A72" t="inlineStr">
        <is>
          <t>2024-06</t>
        </is>
      </c>
      <c r="B72" s="23">
        <f>IFERROR(AVERAGEIF('PPI ANP - Diesel (semanal)'!$C:$C,$A72,'PPI ANP - Diesel (semanal)'!$T:$T),"")</f>
        <v/>
      </c>
      <c r="C72" s="23">
        <f>IFERROR(AVERAGEIF('Preço Realização (semanal)'!$C:$C,$A72,'Preço Realização (semanal)'!$D:$D),"")</f>
        <v/>
      </c>
      <c r="D72" s="25">
        <f>IF(OR(B72="",C72=""),"",(B72-C72)/B72)</f>
        <v/>
      </c>
      <c r="E72" s="23">
        <f>IFERROR(AVERAGEIF('PPI ANP - Gasolina (semanal)'!$C:$C,$A72,'PPI ANP - Gasolina (semanal)'!$T:$T),"")</f>
        <v/>
      </c>
      <c r="F72" s="23">
        <f>IFERROR(AVERAGEIF('Preço Realização (semanal)'!$H:$H,$A72,'Preço Realização (semanal)'!$I:$I),"")</f>
        <v/>
      </c>
      <c r="G72" s="25">
        <f>IF(OR(E72="",F72=""),"",(E72-F72)/E72)</f>
        <v/>
      </c>
    </row>
    <row r="73">
      <c r="A73" t="inlineStr">
        <is>
          <t>2024-07</t>
        </is>
      </c>
      <c r="B73" s="23">
        <f>IFERROR(AVERAGEIF('PPI ANP - Diesel (semanal)'!$C:$C,$A73,'PPI ANP - Diesel (semanal)'!$T:$T),"")</f>
        <v/>
      </c>
      <c r="C73" s="23">
        <f>IFERROR(AVERAGEIF('Preço Realização (semanal)'!$C:$C,$A73,'Preço Realização (semanal)'!$D:$D),"")</f>
        <v/>
      </c>
      <c r="D73" s="25">
        <f>IF(OR(B73="",C73=""),"",(B73-C73)/B73)</f>
        <v/>
      </c>
      <c r="E73" s="23">
        <f>IFERROR(AVERAGEIF('PPI ANP - Gasolina (semanal)'!$C:$C,$A73,'PPI ANP - Gasolina (semanal)'!$T:$T),"")</f>
        <v/>
      </c>
      <c r="F73" s="23">
        <f>IFERROR(AVERAGEIF('Preço Realização (semanal)'!$H:$H,$A73,'Preço Realização (semanal)'!$I:$I),"")</f>
        <v/>
      </c>
      <c r="G73" s="25">
        <f>IF(OR(E73="",F73=""),"",(E73-F73)/E73)</f>
        <v/>
      </c>
    </row>
    <row r="74">
      <c r="A74" t="inlineStr">
        <is>
          <t>2024-08</t>
        </is>
      </c>
      <c r="B74" s="23">
        <f>IFERROR(AVERAGEIF('PPI ANP - Diesel (semanal)'!$C:$C,$A74,'PPI ANP - Diesel (semanal)'!$T:$T),"")</f>
        <v/>
      </c>
      <c r="C74" s="23">
        <f>IFERROR(AVERAGEIF('Preço Realização (semanal)'!$C:$C,$A74,'Preço Realização (semanal)'!$D:$D),"")</f>
        <v/>
      </c>
      <c r="D74" s="25">
        <f>IF(OR(B74="",C74=""),"",(B74-C74)/B74)</f>
        <v/>
      </c>
      <c r="E74" s="23">
        <f>IFERROR(AVERAGEIF('PPI ANP - Gasolina (semanal)'!$C:$C,$A74,'PPI ANP - Gasolina (semanal)'!$T:$T),"")</f>
        <v/>
      </c>
      <c r="F74" s="23">
        <f>IFERROR(AVERAGEIF('Preço Realização (semanal)'!$H:$H,$A74,'Preço Realização (semanal)'!$I:$I),"")</f>
        <v/>
      </c>
      <c r="G74" s="25">
        <f>IF(OR(E74="",F74=""),"",(E74-F74)/E74)</f>
        <v/>
      </c>
    </row>
    <row r="75">
      <c r="A75" t="inlineStr">
        <is>
          <t>2024-09</t>
        </is>
      </c>
      <c r="B75" s="23">
        <f>IFERROR(AVERAGEIF('PPI ANP - Diesel (semanal)'!$C:$C,$A75,'PPI ANP - Diesel (semanal)'!$T:$T),"")</f>
        <v/>
      </c>
      <c r="C75" s="23">
        <f>IFERROR(AVERAGEIF('Preço Realização (semanal)'!$C:$C,$A75,'Preço Realização (semanal)'!$D:$D),"")</f>
        <v/>
      </c>
      <c r="D75" s="25">
        <f>IF(OR(B75="",C75=""),"",(B75-C75)/B75)</f>
        <v/>
      </c>
      <c r="E75" s="23">
        <f>IFERROR(AVERAGEIF('PPI ANP - Gasolina (semanal)'!$C:$C,$A75,'PPI ANP - Gasolina (semanal)'!$T:$T),"")</f>
        <v/>
      </c>
      <c r="F75" s="23">
        <f>IFERROR(AVERAGEIF('Preço Realização (semanal)'!$H:$H,$A75,'Preço Realização (semanal)'!$I:$I),"")</f>
        <v/>
      </c>
      <c r="G75" s="25">
        <f>IF(OR(E75="",F75=""),"",(E75-F75)/E75)</f>
        <v/>
      </c>
    </row>
    <row r="76">
      <c r="A76" t="inlineStr">
        <is>
          <t>2024-10</t>
        </is>
      </c>
      <c r="B76" s="23">
        <f>IFERROR(AVERAGEIF('PPI ANP - Diesel (semanal)'!$C:$C,$A76,'PPI ANP - Diesel (semanal)'!$T:$T),"")</f>
        <v/>
      </c>
      <c r="C76" s="23">
        <f>IFERROR(AVERAGEIF('Preço Realização (semanal)'!$C:$C,$A76,'Preço Realização (semanal)'!$D:$D),"")</f>
        <v/>
      </c>
      <c r="D76" s="25">
        <f>IF(OR(B76="",C76=""),"",(B76-C76)/B76)</f>
        <v/>
      </c>
      <c r="E76" s="23">
        <f>IFERROR(AVERAGEIF('PPI ANP - Gasolina (semanal)'!$C:$C,$A76,'PPI ANP - Gasolina (semanal)'!$T:$T),"")</f>
        <v/>
      </c>
      <c r="F76" s="23">
        <f>IFERROR(AVERAGEIF('Preço Realização (semanal)'!$H:$H,$A76,'Preço Realização (semanal)'!$I:$I),"")</f>
        <v/>
      </c>
      <c r="G76" s="25">
        <f>IF(OR(E76="",F76=""),"",(E76-F76)/E76)</f>
        <v/>
      </c>
    </row>
    <row r="77">
      <c r="A77" t="inlineStr">
        <is>
          <t>2024-11</t>
        </is>
      </c>
      <c r="B77" s="23">
        <f>IFERROR(AVERAGEIF('PPI ANP - Diesel (semanal)'!$C:$C,$A77,'PPI ANP - Diesel (semanal)'!$T:$T),"")</f>
        <v/>
      </c>
      <c r="C77" s="23">
        <f>IFERROR(AVERAGEIF('Preço Realização (semanal)'!$C:$C,$A77,'Preço Realização (semanal)'!$D:$D),"")</f>
        <v/>
      </c>
      <c r="D77" s="25">
        <f>IF(OR(B77="",C77=""),"",(B77-C77)/B77)</f>
        <v/>
      </c>
      <c r="E77" s="23">
        <f>IFERROR(AVERAGEIF('PPI ANP - Gasolina (semanal)'!$C:$C,$A77,'PPI ANP - Gasolina (semanal)'!$T:$T),"")</f>
        <v/>
      </c>
      <c r="F77" s="23">
        <f>IFERROR(AVERAGEIF('Preço Realização (semanal)'!$H:$H,$A77,'Preço Realização (semanal)'!$I:$I),"")</f>
        <v/>
      </c>
      <c r="G77" s="25">
        <f>IF(OR(E77="",F77=""),"",(E77-F77)/E77)</f>
        <v/>
      </c>
    </row>
    <row r="78">
      <c r="A78" t="inlineStr">
        <is>
          <t>2024-12</t>
        </is>
      </c>
      <c r="B78" s="23">
        <f>IFERROR(AVERAGEIF('PPI ANP - Diesel (semanal)'!$C:$C,$A78,'PPI ANP - Diesel (semanal)'!$T:$T),"")</f>
        <v/>
      </c>
      <c r="C78" s="23">
        <f>IFERROR(AVERAGEIF('Preço Realização (semanal)'!$C:$C,$A78,'Preço Realização (semanal)'!$D:$D),"")</f>
        <v/>
      </c>
      <c r="D78" s="25">
        <f>IF(OR(B78="",C78=""),"",(B78-C78)/B78)</f>
        <v/>
      </c>
      <c r="E78" s="23">
        <f>IFERROR(AVERAGEIF('PPI ANP - Gasolina (semanal)'!$C:$C,$A78,'PPI ANP - Gasolina (semanal)'!$T:$T),"")</f>
        <v/>
      </c>
      <c r="F78" s="23">
        <f>IFERROR(AVERAGEIF('Preço Realização (semanal)'!$H:$H,$A78,'Preço Realização (semanal)'!$I:$I),"")</f>
        <v/>
      </c>
      <c r="G78" s="25">
        <f>IF(OR(E78="",F78=""),"",(E78-F78)/E78)</f>
        <v/>
      </c>
    </row>
    <row r="79">
      <c r="A79" t="inlineStr">
        <is>
          <t>2025-01</t>
        </is>
      </c>
      <c r="B79" s="23">
        <f>IFERROR(AVERAGEIF('PPI ANP - Diesel (semanal)'!$C:$C,$A79,'PPI ANP - Diesel (semanal)'!$T:$T),"")</f>
        <v/>
      </c>
      <c r="C79" s="23">
        <f>IFERROR(AVERAGEIF('Preço Realização (semanal)'!$C:$C,$A79,'Preço Realização (semanal)'!$D:$D),"")</f>
        <v/>
      </c>
      <c r="D79" s="25">
        <f>IF(OR(B79="",C79=""),"",(B79-C79)/B79)</f>
        <v/>
      </c>
      <c r="E79" s="23">
        <f>IFERROR(AVERAGEIF('PPI ANP - Gasolina (semanal)'!$C:$C,$A79,'PPI ANP - Gasolina (semanal)'!$T:$T),"")</f>
        <v/>
      </c>
      <c r="F79" s="23">
        <f>IFERROR(AVERAGEIF('Preço Realização (semanal)'!$H:$H,$A79,'Preço Realização (semanal)'!$I:$I),"")</f>
        <v/>
      </c>
      <c r="G79" s="25">
        <f>IF(OR(E79="",F79=""),"",(E79-F79)/E79)</f>
        <v/>
      </c>
    </row>
    <row r="80">
      <c r="A80" t="inlineStr">
        <is>
          <t>2025-02</t>
        </is>
      </c>
      <c r="B80" s="23">
        <f>IFERROR(AVERAGEIF('PPI ANP - Diesel (semanal)'!$C:$C,$A80,'PPI ANP - Diesel (semanal)'!$T:$T),"")</f>
        <v/>
      </c>
      <c r="C80" s="23">
        <f>IFERROR(AVERAGEIF('Preço Realização (semanal)'!$C:$C,$A80,'Preço Realização (semanal)'!$D:$D),"")</f>
        <v/>
      </c>
      <c r="D80" s="25">
        <f>IF(OR(B80="",C80=""),"",(B80-C80)/B80)</f>
        <v/>
      </c>
      <c r="E80" s="23">
        <f>IFERROR(AVERAGEIF('PPI ANP - Gasolina (semanal)'!$C:$C,$A80,'PPI ANP - Gasolina (semanal)'!$T:$T),"")</f>
        <v/>
      </c>
      <c r="F80" s="23">
        <f>IFERROR(AVERAGEIF('Preço Realização (semanal)'!$H:$H,$A80,'Preço Realização (semanal)'!$I:$I),"")</f>
        <v/>
      </c>
      <c r="G80" s="25">
        <f>IF(OR(E80="",F80=""),"",(E80-F80)/E80)</f>
        <v/>
      </c>
    </row>
    <row r="81">
      <c r="A81" t="inlineStr">
        <is>
          <t>2025-03</t>
        </is>
      </c>
      <c r="B81" s="23">
        <f>IFERROR(AVERAGEIF('PPI ANP - Diesel (semanal)'!$C:$C,$A81,'PPI ANP - Diesel (semanal)'!$T:$T),"")</f>
        <v/>
      </c>
      <c r="C81" s="23">
        <f>IFERROR(AVERAGEIF('Preço Realização (semanal)'!$C:$C,$A81,'Preço Realização (semanal)'!$D:$D),"")</f>
        <v/>
      </c>
      <c r="D81" s="25">
        <f>IF(OR(B81="",C81=""),"",(B81-C81)/B81)</f>
        <v/>
      </c>
      <c r="E81" s="23">
        <f>IFERROR(AVERAGEIF('PPI ANP - Gasolina (semanal)'!$C:$C,$A81,'PPI ANP - Gasolina (semanal)'!$T:$T),"")</f>
        <v/>
      </c>
      <c r="F81" s="23">
        <f>IFERROR(AVERAGEIF('Preço Realização (semanal)'!$H:$H,$A81,'Preço Realização (semanal)'!$I:$I),"")</f>
        <v/>
      </c>
      <c r="G81" s="25">
        <f>IF(OR(E81="",F81=""),"",(E81-F81)/E81)</f>
        <v/>
      </c>
    </row>
    <row r="82">
      <c r="A82" t="inlineStr">
        <is>
          <t>2025-04</t>
        </is>
      </c>
      <c r="B82" s="23">
        <f>IFERROR(AVERAGEIF('PPI ANP - Diesel (semanal)'!$C:$C,$A82,'PPI ANP - Diesel (semanal)'!$T:$T),"")</f>
        <v/>
      </c>
      <c r="C82" s="23">
        <f>IFERROR(AVERAGEIF('Preço Realização (semanal)'!$C:$C,$A82,'Preço Realização (semanal)'!$D:$D),"")</f>
        <v/>
      </c>
      <c r="D82" s="25">
        <f>IF(OR(B82="",C82=""),"",(B82-C82)/B82)</f>
        <v/>
      </c>
      <c r="E82" s="23">
        <f>IFERROR(AVERAGEIF('PPI ANP - Gasolina (semanal)'!$C:$C,$A82,'PPI ANP - Gasolina (semanal)'!$T:$T),"")</f>
        <v/>
      </c>
      <c r="F82" s="23">
        <f>IFERROR(AVERAGEIF('Preço Realização (semanal)'!$H:$H,$A82,'Preço Realização (semanal)'!$I:$I),"")</f>
        <v/>
      </c>
      <c r="G82" s="25">
        <f>IF(OR(E82="",F82=""),"",(E82-F82)/E82)</f>
        <v/>
      </c>
    </row>
    <row r="83">
      <c r="A83" t="inlineStr">
        <is>
          <t>2025-05</t>
        </is>
      </c>
      <c r="B83" s="23">
        <f>IFERROR(AVERAGEIF('PPI ANP - Diesel (semanal)'!$C:$C,$A83,'PPI ANP - Diesel (semanal)'!$T:$T),"")</f>
        <v/>
      </c>
      <c r="C83" s="23">
        <f>IFERROR(AVERAGEIF('Preço Realização (semanal)'!$C:$C,$A83,'Preço Realização (semanal)'!$D:$D),"")</f>
        <v/>
      </c>
      <c r="D83" s="25">
        <f>IF(OR(B83="",C83=""),"",(B83-C83)/B83)</f>
        <v/>
      </c>
      <c r="E83" s="23">
        <f>IFERROR(AVERAGEIF('PPI ANP - Gasolina (semanal)'!$C:$C,$A83,'PPI ANP - Gasolina (semanal)'!$T:$T),"")</f>
        <v/>
      </c>
      <c r="F83" s="23">
        <f>IFERROR(AVERAGEIF('Preço Realização (semanal)'!$H:$H,$A83,'Preço Realização (semanal)'!$I:$I),"")</f>
        <v/>
      </c>
      <c r="G83" s="25">
        <f>IF(OR(E83="",F83=""),"",(E83-F83)/E83)</f>
        <v/>
      </c>
    </row>
    <row r="84">
      <c r="A84" t="inlineStr">
        <is>
          <t>2025-06</t>
        </is>
      </c>
      <c r="B84" s="23">
        <f>IFERROR(AVERAGEIF('PPI ANP - Diesel (semanal)'!$C:$C,$A84,'PPI ANP - Diesel (semanal)'!$T:$T),"")</f>
        <v/>
      </c>
      <c r="C84" s="23">
        <f>IFERROR(AVERAGEIF('Preço Realização (semanal)'!$C:$C,$A84,'Preço Realização (semanal)'!$D:$D),"")</f>
        <v/>
      </c>
      <c r="D84" s="25">
        <f>IF(OR(B84="",C84=""),"",(B84-C84)/B84)</f>
        <v/>
      </c>
      <c r="E84" s="23">
        <f>IFERROR(AVERAGEIF('PPI ANP - Gasolina (semanal)'!$C:$C,$A84,'PPI ANP - Gasolina (semanal)'!$T:$T),"")</f>
        <v/>
      </c>
      <c r="F84" s="23">
        <f>IFERROR(AVERAGEIF('Preço Realização (semanal)'!$H:$H,$A84,'Preço Realização (semanal)'!$I:$I),"")</f>
        <v/>
      </c>
      <c r="G84" s="25">
        <f>IF(OR(E84="",F84=""),"",(E84-F84)/E84)</f>
        <v/>
      </c>
    </row>
    <row r="85">
      <c r="A85" t="inlineStr">
        <is>
          <t>2025-07</t>
        </is>
      </c>
      <c r="B85" s="23">
        <f>IFERROR(AVERAGEIF('PPI ANP - Diesel (semanal)'!$C:$C,$A85,'PPI ANP - Diesel (semanal)'!$T:$T),"")</f>
        <v/>
      </c>
      <c r="C85" s="23">
        <f>IFERROR(AVERAGEIF('Preço Realização (semanal)'!$C:$C,$A85,'Preço Realização (semanal)'!$D:$D),"")</f>
        <v/>
      </c>
      <c r="D85" s="25">
        <f>IF(OR(B85="",C85=""),"",(B85-C85)/B85)</f>
        <v/>
      </c>
      <c r="E85" s="23">
        <f>IFERROR(AVERAGEIF('PPI ANP - Gasolina (semanal)'!$C:$C,$A85,'PPI ANP - Gasolina (semanal)'!$T:$T),"")</f>
        <v/>
      </c>
      <c r="F85" s="23">
        <f>IFERROR(AVERAGEIF('Preço Realização (semanal)'!$H:$H,$A85,'Preço Realização (semanal)'!$I:$I),"")</f>
        <v/>
      </c>
      <c r="G85" s="25">
        <f>IF(OR(E85="",F85=""),"",(E85-F85)/E85)</f>
        <v/>
      </c>
    </row>
    <row r="86">
      <c r="A86" t="inlineStr">
        <is>
          <t>2025-08</t>
        </is>
      </c>
      <c r="B86" s="23">
        <f>IFERROR(AVERAGEIF('PPI ANP - Diesel (semanal)'!$C:$C,$A86,'PPI ANP - Diesel (semanal)'!$T:$T),"")</f>
        <v/>
      </c>
      <c r="C86" s="23">
        <f>IFERROR(AVERAGEIF('Preço Realização (semanal)'!$C:$C,$A86,'Preço Realização (semanal)'!$D:$D),"")</f>
        <v/>
      </c>
      <c r="D86" s="25">
        <f>IF(OR(B86="",C86=""),"",(B86-C86)/B86)</f>
        <v/>
      </c>
      <c r="E86" s="23">
        <f>IFERROR(AVERAGEIF('PPI ANP - Gasolina (semanal)'!$C:$C,$A86,'PPI ANP - Gasolina (semanal)'!$T:$T),"")</f>
        <v/>
      </c>
      <c r="F86" s="23">
        <f>IFERROR(AVERAGEIF('Preço Realização (semanal)'!$H:$H,$A86,'Preço Realização (semanal)'!$I:$I),"")</f>
        <v/>
      </c>
      <c r="G86" s="25">
        <f>IF(OR(E86="",F86=""),"",(E86-F86)/E86)</f>
        <v/>
      </c>
    </row>
    <row r="87">
      <c r="A87" t="inlineStr">
        <is>
          <t>2025-09</t>
        </is>
      </c>
      <c r="B87" s="23">
        <f>IFERROR(AVERAGEIF('PPI ANP - Diesel (semanal)'!$C:$C,$A87,'PPI ANP - Diesel (semanal)'!$T:$T),"")</f>
        <v/>
      </c>
      <c r="C87" s="23">
        <f>IFERROR(AVERAGEIF('Preço Realização (semanal)'!$C:$C,$A87,'Preço Realização (semanal)'!$D:$D),"")</f>
        <v/>
      </c>
      <c r="D87" s="25">
        <f>IF(OR(B87="",C87=""),"",(B87-C87)/B87)</f>
        <v/>
      </c>
      <c r="E87" s="23">
        <f>IFERROR(AVERAGEIF('PPI ANP - Gasolina (semanal)'!$C:$C,$A87,'PPI ANP - Gasolina (semanal)'!$T:$T),"")</f>
        <v/>
      </c>
      <c r="F87" s="23">
        <f>IFERROR(AVERAGEIF('Preço Realização (semanal)'!$H:$H,$A87,'Preço Realização (semanal)'!$I:$I),"")</f>
        <v/>
      </c>
      <c r="G87" s="25">
        <f>IF(OR(E87="",F87=""),"",(E87-F87)/E87)</f>
        <v/>
      </c>
    </row>
    <row r="88">
      <c r="A88" t="inlineStr">
        <is>
          <t>2025-10</t>
        </is>
      </c>
      <c r="B88" s="23">
        <f>IFERROR(AVERAGEIF('PPI ANP - Diesel (semanal)'!$C:$C,$A88,'PPI ANP - Diesel (semanal)'!$T:$T),"")</f>
        <v/>
      </c>
      <c r="C88" s="23">
        <f>IFERROR(AVERAGEIF('Preço Realização (semanal)'!$C:$C,$A88,'Preço Realização (semanal)'!$D:$D),"")</f>
        <v/>
      </c>
      <c r="D88" s="25">
        <f>IF(OR(B88="",C88=""),"",(B88-C88)/B88)</f>
        <v/>
      </c>
      <c r="E88" s="23">
        <f>IFERROR(AVERAGEIF('PPI ANP - Gasolina (semanal)'!$C:$C,$A88,'PPI ANP - Gasolina (semanal)'!$T:$T),"")</f>
        <v/>
      </c>
      <c r="F88" s="23">
        <f>IFERROR(AVERAGEIF('Preço Realização (semanal)'!$H:$H,$A88,'Preço Realização (semanal)'!$I:$I),"")</f>
        <v/>
      </c>
      <c r="G88" s="25">
        <f>IF(OR(E88="",F88=""),"",(E88-F88)/E88)</f>
        <v/>
      </c>
    </row>
    <row r="89">
      <c r="A89" t="inlineStr">
        <is>
          <t>2025-11</t>
        </is>
      </c>
      <c r="B89" s="23">
        <f>IFERROR(AVERAGEIF('PPI ANP - Diesel (semanal)'!$C:$C,$A89,'PPI ANP - Diesel (semanal)'!$T:$T),"")</f>
        <v/>
      </c>
      <c r="C89" s="23">
        <f>IFERROR(AVERAGEIF('Preço Realização (semanal)'!$C:$C,$A89,'Preço Realização (semanal)'!$D:$D),"")</f>
        <v/>
      </c>
      <c r="D89" s="25">
        <f>IF(OR(B89="",C89=""),"",(B89-C89)/B89)</f>
        <v/>
      </c>
      <c r="E89" s="23">
        <f>IFERROR(AVERAGEIF('PPI ANP - Gasolina (semanal)'!$C:$C,$A89,'PPI ANP - Gasolina (semanal)'!$T:$T),"")</f>
        <v/>
      </c>
      <c r="F89" s="23">
        <f>IFERROR(AVERAGEIF('Preço Realização (semanal)'!$H:$H,$A89,'Preço Realização (semanal)'!$I:$I),"")</f>
        <v/>
      </c>
      <c r="G89" s="25">
        <f>IF(OR(E89="",F89=""),"",(E89-F89)/E89)</f>
        <v/>
      </c>
    </row>
    <row r="90">
      <c r="A90" t="inlineStr">
        <is>
          <t>2025-12</t>
        </is>
      </c>
      <c r="B90" s="23">
        <f>IFERROR(AVERAGEIF('PPI ANP - Diesel (semanal)'!$C:$C,$A90,'PPI ANP - Diesel (semanal)'!$T:$T),"")</f>
        <v/>
      </c>
      <c r="C90" s="23">
        <f>IFERROR(AVERAGEIF('Preço Realização (semanal)'!$C:$C,$A90,'Preço Realização (semanal)'!$D:$D),"")</f>
        <v/>
      </c>
      <c r="D90" s="25">
        <f>IF(OR(B90="",C90=""),"",(B90-C90)/B90)</f>
        <v/>
      </c>
      <c r="E90" s="23">
        <f>IFERROR(AVERAGEIF('PPI ANP - Gasolina (semanal)'!$C:$C,$A90,'PPI ANP - Gasolina (semanal)'!$T:$T),"")</f>
        <v/>
      </c>
      <c r="F90" s="23">
        <f>IFERROR(AVERAGEIF('Preço Realização (semanal)'!$H:$H,$A90,'Preço Realização (semanal)'!$I:$I),"")</f>
        <v/>
      </c>
      <c r="G90" s="25">
        <f>IF(OR(E90="",F90=""),"",(E90-F90)/E90)</f>
        <v/>
      </c>
    </row>
    <row r="91">
      <c r="A91" t="inlineStr">
        <is>
          <t>2026-01</t>
        </is>
      </c>
      <c r="B91" s="23">
        <f>IFERROR(AVERAGEIF('PPI ANP - Diesel (semanal)'!$C:$C,$A91,'PPI ANP - Diesel (semanal)'!$T:$T),"")</f>
        <v/>
      </c>
      <c r="C91" s="23">
        <f>IFERROR(AVERAGEIF('Preço Realização (semanal)'!$C:$C,$A91,'Preço Realização (semanal)'!$D:$D),"")</f>
        <v/>
      </c>
      <c r="D91" s="25">
        <f>IF(OR(B91="",C91=""),"",(B91-C91)/B91)</f>
        <v/>
      </c>
      <c r="E91" s="23">
        <f>IFERROR(AVERAGEIF('PPI ANP - Gasolina (semanal)'!$C:$C,$A91,'PPI ANP - Gasolina (semanal)'!$T:$T),"")</f>
        <v/>
      </c>
      <c r="F91" s="23">
        <f>IFERROR(AVERAGEIF('Preço Realização (semanal)'!$H:$H,$A91,'Preço Realização (semanal)'!$I:$I),"")</f>
        <v/>
      </c>
      <c r="G91" s="25">
        <f>IF(OR(E91="",F91=""),"",(E91-F91)/E91)</f>
        <v/>
      </c>
    </row>
    <row r="92">
      <c r="A92" t="inlineStr">
        <is>
          <t>2026-02</t>
        </is>
      </c>
      <c r="B92" s="23">
        <f>IFERROR(AVERAGEIF('PPI ANP - Diesel (semanal)'!$C:$C,$A92,'PPI ANP - Diesel (semanal)'!$T:$T),"")</f>
        <v/>
      </c>
      <c r="C92" s="23">
        <f>IFERROR(AVERAGEIF('Preço Realização (semanal)'!$C:$C,$A92,'Preço Realização (semanal)'!$D:$D),"")</f>
        <v/>
      </c>
      <c r="D92" s="25">
        <f>IF(OR(B92="",C92=""),"",(B92-C92)/B92)</f>
        <v/>
      </c>
      <c r="E92" s="23">
        <f>IFERROR(AVERAGEIF('PPI ANP - Gasolina (semanal)'!$C:$C,$A92,'PPI ANP - Gasolina (semanal)'!$T:$T),"")</f>
        <v/>
      </c>
      <c r="F92" s="23">
        <f>IFERROR(AVERAGEIF('Preço Realização (semanal)'!$H:$H,$A92,'Preço Realização (semanal)'!$I:$I),"")</f>
        <v/>
      </c>
      <c r="G92" s="25">
        <f>IF(OR(E92="",F92=""),"",(E92-F92)/E92)</f>
        <v/>
      </c>
    </row>
    <row r="93">
      <c r="A93" t="inlineStr">
        <is>
          <t>2026-03</t>
        </is>
      </c>
      <c r="B93" s="23">
        <f>IFERROR(AVERAGEIF('PPI ANP - Diesel (semanal)'!$C:$C,$A93,'PPI ANP - Diesel (semanal)'!$T:$T),"")</f>
        <v/>
      </c>
      <c r="C93" s="23">
        <f>IFERROR(AVERAGEIF('Preço Realização (semanal)'!$C:$C,$A93,'Preço Realização (semanal)'!$D:$D),"")</f>
        <v/>
      </c>
      <c r="D93" s="25">
        <f>IF(OR(B93="",C93=""),"",(B93-C93)/B93)</f>
        <v/>
      </c>
      <c r="E93" s="23">
        <f>IFERROR(AVERAGEIF('PPI ANP - Gasolina (semanal)'!$C:$C,$A93,'PPI ANP - Gasolina (semanal)'!$T:$T),"")</f>
        <v/>
      </c>
      <c r="F93" s="23">
        <f>IFERROR(AVERAGEIF('Preço Realização (semanal)'!$H:$H,$A93,'Preço Realização (semanal)'!$I:$I),"")</f>
        <v/>
      </c>
      <c r="G93" s="25">
        <f>IF(OR(E93="",F93=""),"",(E93-F93)/E93)</f>
        <v/>
      </c>
    </row>
    <row r="94">
      <c r="A94" t="inlineStr">
        <is>
          <t>2026-04</t>
        </is>
      </c>
      <c r="B94" s="23">
        <f>IFERROR(AVERAGEIF('PPI ANP - Diesel (semanal)'!$C:$C,$A94,'PPI ANP - Diesel (semanal)'!$T:$T),"")</f>
        <v/>
      </c>
      <c r="C94" s="23">
        <f>IFERROR(AVERAGEIF('Preço Realização (semanal)'!$C:$C,$A94,'Preço Realização (semanal)'!$D:$D),"")</f>
        <v/>
      </c>
      <c r="D94" s="25">
        <f>IF(OR(B94="",C94=""),"",(B94-C94)/B94)</f>
        <v/>
      </c>
      <c r="E94" s="23">
        <f>IFERROR(AVERAGEIF('PPI ANP - Gasolina (semanal)'!$C:$C,$A94,'PPI ANP - Gasolina (semanal)'!$T:$T),"")</f>
        <v/>
      </c>
      <c r="F94" s="23">
        <f>IFERROR(AVERAGEIF('Preço Realização (semanal)'!$H:$H,$A94,'Preço Realização (semanal)'!$I:$I),"")</f>
        <v/>
      </c>
      <c r="G94" s="25">
        <f>IF(OR(E94="",F94=""),"",(E94-F94)/E94)</f>
        <v/>
      </c>
    </row>
    <row r="95">
      <c r="A95" t="inlineStr">
        <is>
          <t>2026-05</t>
        </is>
      </c>
      <c r="B95" s="23">
        <f>IFERROR(AVERAGEIF('PPI ANP - Diesel (semanal)'!$C:$C,$A95,'PPI ANP - Diesel (semanal)'!$T:$T),"")</f>
        <v/>
      </c>
      <c r="C95" s="23">
        <f>IFERROR(AVERAGEIF('Preço Realização (semanal)'!$C:$C,$A95,'Preço Realização (semanal)'!$D:$D),"")</f>
        <v/>
      </c>
      <c r="D95" s="25">
        <f>IF(OR(B95="",C95=""),"",(B95-C95)/B95)</f>
        <v/>
      </c>
      <c r="E95" s="23">
        <f>IFERROR(AVERAGEIF('PPI ANP - Gasolina (semanal)'!$C:$C,$A95,'PPI ANP - Gasolina (semanal)'!$T:$T),"")</f>
        <v/>
      </c>
      <c r="F95" s="23">
        <f>IFERROR(AVERAGEIF('Preço Realização (semanal)'!$H:$H,$A95,'Preço Realização (semanal)'!$I:$I),"")</f>
        <v/>
      </c>
      <c r="G95" s="25">
        <f>IF(OR(E95="",F95=""),"",(E95-F95)/E95)</f>
        <v/>
      </c>
    </row>
    <row r="96">
      <c r="A96" t="inlineStr">
        <is>
          <t>2026-06</t>
        </is>
      </c>
      <c r="B96" s="23">
        <f>IFERROR(AVERAGEIF('PPI ANP - Diesel (semanal)'!$C:$C,$A96,'PPI ANP - Diesel (semanal)'!$T:$T),"")</f>
        <v/>
      </c>
      <c r="C96" s="23">
        <f>IFERROR(AVERAGEIF('Preço Realização (semanal)'!$C:$C,$A96,'Preço Realização (semanal)'!$D:$D),"")</f>
        <v/>
      </c>
      <c r="D96" s="25">
        <f>IF(OR(B96="",C96=""),"",(B96-C96)/B96)</f>
        <v/>
      </c>
      <c r="E96" s="23">
        <f>IFERROR(AVERAGEIF('PPI ANP - Gasolina (semanal)'!$C:$C,$A96,'PPI ANP - Gasolina (semanal)'!$T:$T),"")</f>
        <v/>
      </c>
      <c r="F96" s="23">
        <f>IFERROR(AVERAGEIF('Preço Realização (semanal)'!$H:$H,$A96,'Preço Realização (semanal)'!$I:$I),"")</f>
        <v/>
      </c>
      <c r="G96" s="25">
        <f>IF(OR(E96="",F96=""),"",(E96-F96)/E96)</f>
        <v/>
      </c>
    </row>
    <row r="97">
      <c r="A97" t="inlineStr">
        <is>
          <t>2026-07</t>
        </is>
      </c>
      <c r="B97" s="23">
        <f>IFERROR(AVERAGEIF('PPI ANP - Diesel (semanal)'!$C:$C,$A97,'PPI ANP - Diesel (semanal)'!$T:$T),"")</f>
        <v/>
      </c>
      <c r="C97" s="23">
        <f>IFERROR(AVERAGEIF('Preço Realização (semanal)'!$C:$C,$A97,'Preço Realização (semanal)'!$D:$D),"")</f>
        <v/>
      </c>
      <c r="D97" s="25">
        <f>IF(OR(B97="",C97=""),"",(B97-C97)/B97)</f>
        <v/>
      </c>
      <c r="E97" s="23">
        <f>IFERROR(AVERAGEIF('PPI ANP - Gasolina (semanal)'!$C:$C,$A97,'PPI ANP - Gasolina (semanal)'!$T:$T),"")</f>
        <v/>
      </c>
      <c r="F97" s="23">
        <f>IFERROR(AVERAGEIF('Preço Realização (semanal)'!$H:$H,$A97,'Preço Realização (semanal)'!$I:$I),"")</f>
        <v/>
      </c>
      <c r="G97" s="25">
        <f>IF(OR(E97="",F97=""),"",(E97-F97)/E97)</f>
        <v/>
      </c>
    </row>
    <row r="98">
      <c r="A98" t="inlineStr">
        <is>
          <t>2026-08</t>
        </is>
      </c>
      <c r="B98" s="23">
        <f>IFERROR(AVERAGEIF('PPI ANP - Diesel (semanal)'!$C:$C,$A98,'PPI ANP - Diesel (semanal)'!$T:$T),"")</f>
        <v/>
      </c>
      <c r="C98" s="23">
        <f>IFERROR(AVERAGEIF('Preço Realização (semanal)'!$C:$C,$A98,'Preço Realização (semanal)'!$D:$D),"")</f>
        <v/>
      </c>
      <c r="D98" s="25">
        <f>IF(OR(B98="",C98=""),"",(B98-C98)/B98)</f>
        <v/>
      </c>
      <c r="E98" s="23">
        <f>IFERROR(AVERAGEIF('PPI ANP - Gasolina (semanal)'!$C:$C,$A98,'PPI ANP - Gasolina (semanal)'!$T:$T),"")</f>
        <v/>
      </c>
      <c r="F98" s="23">
        <f>IFERROR(AVERAGEIF('Preço Realização (semanal)'!$H:$H,$A98,'Preço Realização (semanal)'!$I:$I),"")</f>
        <v/>
      </c>
      <c r="G98" s="25">
        <f>IF(OR(E98="",F98=""),"",(E98-F98)/E98)</f>
        <v/>
      </c>
    </row>
    <row r="99">
      <c r="A99" t="inlineStr">
        <is>
          <t>2026-09</t>
        </is>
      </c>
      <c r="B99" s="23">
        <f>IFERROR(AVERAGEIF('PPI ANP - Diesel (semanal)'!$C:$C,$A99,'PPI ANP - Diesel (semanal)'!$T:$T),"")</f>
        <v/>
      </c>
      <c r="C99" s="23">
        <f>IFERROR(AVERAGEIF('Preço Realização (semanal)'!$C:$C,$A99,'Preço Realização (semanal)'!$D:$D),"")</f>
        <v/>
      </c>
      <c r="D99" s="25">
        <f>IF(OR(B99="",C99=""),"",(B99-C99)/B99)</f>
        <v/>
      </c>
      <c r="E99" s="23">
        <f>IFERROR(AVERAGEIF('PPI ANP - Gasolina (semanal)'!$C:$C,$A99,'PPI ANP - Gasolina (semanal)'!$T:$T),"")</f>
        <v/>
      </c>
      <c r="F99" s="23">
        <f>IFERROR(AVERAGEIF('Preço Realização (semanal)'!$H:$H,$A99,'Preço Realização (semanal)'!$I:$I),"")</f>
        <v/>
      </c>
      <c r="G99" s="25">
        <f>IF(OR(E99="",F99=""),"",(E99-F99)/E99)</f>
        <v/>
      </c>
    </row>
  </sheetData>
  <mergeCells count="2">
    <mergeCell ref="A2:H2"/>
    <mergeCell ref="A1:H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9"/>
  <sheetViews>
    <sheetView showGridLines="0" tabSelected="0" workbookViewId="0">
      <selection activeCell="A1" sqref="A1"/>
    </sheetView>
  </sheetViews>
  <sheetFormatPr baseColWidth="8" defaultRowHeight="15"/>
  <cols>
    <col width="34" customWidth="1" min="1" max="1"/>
    <col width="34" customWidth="1" min="2" max="2"/>
    <col width="55" customWidth="1" min="3" max="3"/>
    <col width="34" customWidth="1" min="4" max="4"/>
  </cols>
  <sheetData>
    <row r="1">
      <c r="A1" s="1" t="inlineStr">
        <is>
          <t>Fontes e metodologia</t>
        </is>
      </c>
    </row>
    <row r="3" ht="30" customHeight="1">
      <c r="A3" s="26" t="inlineStr">
        <is>
          <t>Dado</t>
        </is>
      </c>
      <c r="B3" s="26" t="inlineStr">
        <is>
          <t>Fonte</t>
        </is>
      </c>
      <c r="C3" s="26" t="inlineStr">
        <is>
          <t>URL</t>
        </is>
      </c>
      <c r="D3" s="26" t="inlineStr">
        <is>
          <t>Cobertura / data de extração</t>
        </is>
      </c>
    </row>
    <row r="4" ht="30" customHeight="1">
      <c r="A4" s="4" t="inlineStr">
        <is>
          <t>Brent (US$/bbl, mensal)</t>
        </is>
      </c>
      <c r="B4" s="4" t="inlineStr">
        <is>
          <t>EIA, via FRED — série MCOILBRENTEU</t>
        </is>
      </c>
      <c r="C4" s="4" t="inlineStr">
        <is>
          <t>https://fred.stlouisfed.org/series/MCOILBRENTEU</t>
        </is>
      </c>
      <c r="D4" s="4" t="inlineStr">
        <is>
          <t>jan/2016–ago/2026 · extraído 28/09/2026</t>
        </is>
      </c>
    </row>
    <row r="5" ht="30" customHeight="1">
      <c r="A5" s="4" t="inlineStr">
        <is>
          <t>Câmbio USD/BRL (venda, mensal)</t>
        </is>
      </c>
      <c r="B5" s="4" t="inlineStr">
        <is>
          <t>Banco Central do Brasil — SGS série 3695</t>
        </is>
      </c>
      <c r="C5" s="4" t="inlineStr">
        <is>
          <t>https://api.bcb.gov.br/dados/serie/bcdata.sgs.3695/dados?formato=json</t>
        </is>
      </c>
      <c r="D5" s="4" t="inlineStr">
        <is>
          <t>jan/2016–ago/2026 · extraído 28/09/2026</t>
        </is>
      </c>
    </row>
    <row r="6" ht="30" customHeight="1">
      <c r="A6" s="4" t="inlineStr">
        <is>
          <t>PPI oficial (diesel e gasolina, semanal, por polo)</t>
        </is>
      </c>
      <c r="B6" s="4" t="inlineStr">
        <is>
          <t>ANP — metodologia S&amp;P Global Commodity Insights / Abicom-StoneX</t>
        </is>
      </c>
      <c r="C6" s="4" t="inlineStr">
        <is>
          <t>https://www.gov.br/anp/pt-br/assuntos/precos-e-defesa-da-concorrencia/precos/arq-ppi/ppi.xlsx</t>
        </is>
      </c>
      <c r="D6" s="4" t="inlineStr">
        <is>
          <t>nov/2018–21/09/2026 · baixado 28/09/2026</t>
        </is>
      </c>
    </row>
    <row r="7" ht="30" customHeight="1">
      <c r="A7" s="4" t="inlineStr">
        <is>
          <t>Preço de realização (produtor/importador, semanal, Brasil sem ICMS)</t>
        </is>
      </c>
      <c r="B7" s="4" t="inlineStr">
        <is>
          <t>ANP — Preços Médios Ponderados Semanais</t>
        </is>
      </c>
      <c r="C7" s="4" t="inlineStr">
        <is>
          <t>https://www.gov.br/anp/pt-br/assuntos/precos-e-defesa-da-concorrencia/precos/ppidp/precos-medios-ponderados-semanais-2013.xls</t>
        </is>
      </c>
      <c r="D7" s="4" t="inlineStr">
        <is>
          <t>jan/2016–14/09/2026 (arquivo cobre desde 2013) · baixado 28/09/2026</t>
        </is>
      </c>
    </row>
    <row r="8" ht="30" customHeight="1">
      <c r="A8" s="4" t="inlineStr">
        <is>
          <t>Fim da política de PPI da Petrobras (16/05/2023)</t>
        </is>
      </c>
      <c r="B8" s="4" t="inlineStr">
        <is>
          <t>Cobertura de imprensa do anúncio oficial da Petrobras</t>
        </is>
      </c>
      <c r="C8" s="4" t="inlineStr">
        <is>
          <t>—</t>
        </is>
      </c>
      <c r="D8" s="4" t="inlineStr">
        <is>
          <t>confirmado por múltiplas fontes de imprensa; ver texto na aba Leia-me</t>
        </is>
      </c>
    </row>
    <row r="9" ht="30" customHeight="1">
      <c r="A9" s="4" t="inlineStr">
        <is>
          <t>Metodologia detalhada do PPI (frete, margem, tributos linha a linha)</t>
        </is>
      </c>
      <c r="B9" s="4" t="inlineStr">
        <is>
          <t>Abicom — Relatórios do PPI (acesso restrito/cadastro)</t>
        </is>
      </c>
      <c r="C9" s="4" t="inlineStr">
        <is>
          <t>https://abicom.com.br/ppi/</t>
        </is>
      </c>
      <c r="D9" s="4" t="inlineStr">
        <is>
          <t>NÃO acessível publicamente — não incluído na calculadora por falta de confirmação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2026-09-28T18:48:58Z</dcterms:created>
  <dcterms:modified xsi:type="dcterms:W3CDTF">2026-09-28T18:48:59Z</dcterms:modified>
</cp:coreProperties>
</file>